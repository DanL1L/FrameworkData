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ktop\FrameworkData-main\data\"/>
    </mc:Choice>
  </mc:AlternateContent>
  <xr:revisionPtr revIDLastSave="0" documentId="13_ncr:1_{90D04165-0AA4-491B-9B1F-DDD78E3D71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l" sheetId="1" r:id="rId1"/>
    <sheet name="PIB PE RESURSE" sheetId="2" r:id="rId2"/>
    <sheet name="PIB PE UTILIZĂR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3" l="1"/>
  <c r="G9" i="3"/>
  <c r="F9" i="3"/>
  <c r="E9" i="3"/>
  <c r="D9" i="3"/>
  <c r="C9" i="3"/>
  <c r="B9" i="3"/>
  <c r="C9" i="2"/>
  <c r="D9" i="2"/>
  <c r="E9" i="2"/>
  <c r="F9" i="2"/>
  <c r="G9" i="2"/>
  <c r="H9" i="2"/>
  <c r="B9" i="2"/>
</calcChain>
</file>

<file path=xl/sharedStrings.xml><?xml version="1.0" encoding="utf-8"?>
<sst xmlns="http://schemas.openxmlformats.org/spreadsheetml/2006/main" count="19" uniqueCount="18">
  <si>
    <t>An</t>
  </si>
  <si>
    <t>PIB nominal (mil. lei)</t>
  </si>
  <si>
    <t>Industrie (%)</t>
  </si>
  <si>
    <t>Agricultura (%)</t>
  </si>
  <si>
    <t>Cresterea reală PIB (%)</t>
  </si>
  <si>
    <t>Sector Real — Date anuale BNS</t>
  </si>
  <si>
    <t>Resurse</t>
  </si>
  <si>
    <t>Agricultura</t>
  </si>
  <si>
    <t>Industrie</t>
  </si>
  <si>
    <t>Servicii</t>
  </si>
  <si>
    <t>Impozite</t>
  </si>
  <si>
    <t>PIB</t>
  </si>
  <si>
    <t>Construcții</t>
  </si>
  <si>
    <t>Utilizări</t>
  </si>
  <si>
    <t>Consum privat</t>
  </si>
  <si>
    <t>Consum public</t>
  </si>
  <si>
    <t>Formare brută de capital</t>
  </si>
  <si>
    <t>Export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</si>
</sst>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charset val="204"/>
    </font>
    <font>
      <b/>
      <sz val="1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4"/>
      <color theme="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D6E4F7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0" fillId="4" borderId="0" xfId="0" applyFill="1"/>
    <xf numFmtId="1" fontId="0" fillId="4" borderId="0" xfId="0" applyNumberFormat="1" applyFill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2" sqref="D2"/>
    </sheetView>
  </sheetViews>
  <sheetFormatPr defaultRowHeight="15" x14ac:dyDescent="0.25"/>
  <cols>
    <col min="1" max="1" width="15" customWidth="1"/>
    <col min="2" max="2" width="19" customWidth="1"/>
    <col min="3" max="3" width="25" customWidth="1"/>
    <col min="4" max="4" width="16" customWidth="1"/>
    <col min="5" max="6" width="18" customWidth="1"/>
    <col min="7" max="7" width="15" customWidth="1"/>
  </cols>
  <sheetData>
    <row r="1" spans="1:5" ht="15.75" x14ac:dyDescent="0.25">
      <c r="A1" s="9" t="s">
        <v>5</v>
      </c>
      <c r="B1" s="9"/>
      <c r="C1" s="9"/>
      <c r="D1" s="9"/>
      <c r="E1" s="9"/>
    </row>
    <row r="2" spans="1:5" x14ac:dyDescent="0.25">
      <c r="A2" s="1" t="s">
        <v>0</v>
      </c>
      <c r="B2" s="1" t="s">
        <v>4</v>
      </c>
      <c r="C2" s="1" t="s">
        <v>1</v>
      </c>
      <c r="D2" s="1" t="s">
        <v>2</v>
      </c>
      <c r="E2" s="1" t="s">
        <v>3</v>
      </c>
    </row>
    <row r="3" spans="1:5" x14ac:dyDescent="0.25">
      <c r="A3">
        <v>2019</v>
      </c>
      <c r="B3">
        <v>3.6</v>
      </c>
      <c r="C3" s="3">
        <v>206256.239</v>
      </c>
      <c r="D3">
        <v>2</v>
      </c>
      <c r="E3">
        <v>-1.6</v>
      </c>
    </row>
    <row r="4" spans="1:5" x14ac:dyDescent="0.25">
      <c r="A4">
        <v>2020</v>
      </c>
      <c r="B4">
        <v>-8.3000000000000007</v>
      </c>
      <c r="C4" s="3">
        <v>199733.68400000001</v>
      </c>
      <c r="D4">
        <v>-5.4</v>
      </c>
      <c r="E4">
        <v>-27.2</v>
      </c>
    </row>
    <row r="5" spans="1:5" x14ac:dyDescent="0.25">
      <c r="A5">
        <v>2021</v>
      </c>
      <c r="B5">
        <v>13.9</v>
      </c>
      <c r="C5" s="3">
        <v>242078.62899999999</v>
      </c>
      <c r="D5">
        <v>12.1</v>
      </c>
      <c r="E5">
        <v>57.9</v>
      </c>
    </row>
    <row r="6" spans="1:5" x14ac:dyDescent="0.25">
      <c r="A6">
        <v>2022</v>
      </c>
      <c r="B6">
        <v>-4.5999999999999996</v>
      </c>
      <c r="C6" s="3">
        <v>274488.06300000002</v>
      </c>
      <c r="D6">
        <v>-5.0999999999999996</v>
      </c>
      <c r="E6">
        <v>-29.2</v>
      </c>
    </row>
    <row r="7" spans="1:5" x14ac:dyDescent="0.25">
      <c r="A7">
        <v>2023</v>
      </c>
      <c r="B7">
        <v>1.2</v>
      </c>
      <c r="C7" s="3">
        <v>303554.038</v>
      </c>
      <c r="D7">
        <v>-3.6</v>
      </c>
      <c r="E7">
        <v>24.5</v>
      </c>
    </row>
    <row r="8" spans="1:5" x14ac:dyDescent="0.25">
      <c r="A8">
        <v>2024</v>
      </c>
      <c r="B8">
        <v>0.3</v>
      </c>
      <c r="C8" s="3">
        <v>323932.49400000001</v>
      </c>
      <c r="D8">
        <v>-1.1000000000000001</v>
      </c>
      <c r="E8">
        <v>-14.6</v>
      </c>
    </row>
    <row r="9" spans="1:5" x14ac:dyDescent="0.25">
      <c r="A9">
        <v>2025</v>
      </c>
      <c r="B9" s="4">
        <v>2.4</v>
      </c>
      <c r="C9" s="5">
        <v>353520.87699999998</v>
      </c>
      <c r="D9">
        <v>5.4</v>
      </c>
      <c r="E9">
        <v>13.8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F7F2-9CEF-49F7-8717-E8C7CEBE2C4E}">
  <dimension ref="A1:J20"/>
  <sheetViews>
    <sheetView workbookViewId="0">
      <selection activeCell="D33" sqref="D33"/>
    </sheetView>
  </sheetViews>
  <sheetFormatPr defaultRowHeight="15" x14ac:dyDescent="0.25"/>
  <cols>
    <col min="1" max="1" width="16.5703125" customWidth="1"/>
    <col min="2" max="2" width="15.28515625" customWidth="1"/>
    <col min="3" max="3" width="11.28515625" bestFit="1" customWidth="1"/>
    <col min="4" max="4" width="11.5703125" bestFit="1" customWidth="1"/>
    <col min="5" max="8" width="11.28515625" bestFit="1" customWidth="1"/>
  </cols>
  <sheetData>
    <row r="1" spans="1:10" ht="18.75" x14ac:dyDescent="0.3">
      <c r="A1" s="10" t="s">
        <v>6</v>
      </c>
      <c r="B1" s="10"/>
      <c r="C1" s="10"/>
      <c r="D1" s="10"/>
      <c r="E1" s="10"/>
      <c r="F1" s="10"/>
      <c r="G1" s="10"/>
      <c r="H1" s="10"/>
    </row>
    <row r="3" spans="1:10" x14ac:dyDescent="0.25">
      <c r="B3" s="8">
        <v>2019</v>
      </c>
      <c r="C3" s="8">
        <v>2020</v>
      </c>
      <c r="D3" s="8">
        <v>2021</v>
      </c>
      <c r="E3" s="8">
        <v>2022</v>
      </c>
      <c r="F3" s="8">
        <v>2023</v>
      </c>
      <c r="G3" s="8">
        <v>2024</v>
      </c>
      <c r="H3" s="8">
        <v>2025</v>
      </c>
    </row>
    <row r="4" spans="1:10" x14ac:dyDescent="0.25">
      <c r="A4" s="7" t="s">
        <v>7</v>
      </c>
      <c r="B4" s="2">
        <v>2.15425970993199E-2</v>
      </c>
      <c r="C4" s="2">
        <v>-2.9866742600692917</v>
      </c>
      <c r="D4" s="2">
        <v>4.7072415687280866</v>
      </c>
      <c r="E4" s="2">
        <v>-2.4843108981692459</v>
      </c>
      <c r="F4" s="2">
        <v>2.1688226529611221</v>
      </c>
      <c r="G4" s="2">
        <v>-1.2960440341762147</v>
      </c>
      <c r="H4" s="2">
        <v>0.7757961012523571</v>
      </c>
    </row>
    <row r="5" spans="1:10" x14ac:dyDescent="0.25">
      <c r="A5" s="7" t="s">
        <v>8</v>
      </c>
      <c r="B5" s="2">
        <v>0.61795978324156053</v>
      </c>
      <c r="C5" s="2">
        <v>-0.65253783668575471</v>
      </c>
      <c r="D5" s="2">
        <v>0.94319143485081869</v>
      </c>
      <c r="E5" s="2">
        <v>-1.3500318322977503</v>
      </c>
      <c r="F5" s="2">
        <v>-1.0349516350620951</v>
      </c>
      <c r="G5" s="2">
        <v>-1.6485367919895723E-2</v>
      </c>
      <c r="H5" s="2">
        <v>0.24233703796726258</v>
      </c>
    </row>
    <row r="6" spans="1:10" x14ac:dyDescent="0.25">
      <c r="A6" s="7" t="s">
        <v>12</v>
      </c>
      <c r="B6" s="2">
        <v>0.58930843058686577</v>
      </c>
      <c r="C6" s="2">
        <v>0.82185877538472918</v>
      </c>
      <c r="D6" s="2">
        <v>-0.98767967450097194</v>
      </c>
      <c r="E6" s="2">
        <v>-0.77396832965073081</v>
      </c>
      <c r="F6" s="2">
        <v>-0.6434448212132885</v>
      </c>
      <c r="G6" s="2">
        <v>0.24287701947815962</v>
      </c>
      <c r="H6" s="2">
        <v>0.46819860681965664</v>
      </c>
    </row>
    <row r="7" spans="1:10" x14ac:dyDescent="0.25">
      <c r="A7" s="7" t="s">
        <v>9</v>
      </c>
      <c r="B7" s="2">
        <v>2.2412673870230311</v>
      </c>
      <c r="C7" s="2">
        <v>-4.6582057573540832</v>
      </c>
      <c r="D7" s="2">
        <v>6.9766119168963012</v>
      </c>
      <c r="E7" s="2">
        <v>1.0863031436050545</v>
      </c>
      <c r="F7" s="2">
        <v>1.5730904728380524</v>
      </c>
      <c r="G7" s="2">
        <v>1.1249469855512186</v>
      </c>
      <c r="H7" s="2">
        <v>0.69544749888030166</v>
      </c>
    </row>
    <row r="8" spans="1:10" x14ac:dyDescent="0.25">
      <c r="A8" s="7" t="s">
        <v>10</v>
      </c>
      <c r="B8" s="2">
        <v>8.223412657859662E-2</v>
      </c>
      <c r="C8" s="2">
        <v>-0.80041845425097669</v>
      </c>
      <c r="D8" s="2">
        <v>2.2906336619716079</v>
      </c>
      <c r="E8" s="2">
        <v>-1.1258427373544904</v>
      </c>
      <c r="F8" s="2">
        <v>-0.87549570333563043</v>
      </c>
      <c r="G8" s="2">
        <v>0.21537450277633929</v>
      </c>
      <c r="H8" s="2">
        <v>0.23471844294309052</v>
      </c>
    </row>
    <row r="9" spans="1:10" x14ac:dyDescent="0.25">
      <c r="A9" s="7" t="s">
        <v>11</v>
      </c>
      <c r="B9" s="2">
        <f>SUM(B4:B8)</f>
        <v>3.5523123245293742</v>
      </c>
      <c r="C9" s="2">
        <f t="shared" ref="C9:H9" si="0">SUM(C4:C8)</f>
        <v>-8.2759775329753769</v>
      </c>
      <c r="D9" s="2">
        <f t="shared" si="0"/>
        <v>13.929998907945842</v>
      </c>
      <c r="E9" s="2">
        <f t="shared" si="0"/>
        <v>-4.6478506538671631</v>
      </c>
      <c r="F9" s="2">
        <f t="shared" si="0"/>
        <v>1.1880209661881604</v>
      </c>
      <c r="G9" s="2">
        <f t="shared" si="0"/>
        <v>0.27066910570960701</v>
      </c>
      <c r="H9" s="2">
        <f t="shared" si="0"/>
        <v>2.4164976878626683</v>
      </c>
    </row>
    <row r="10" spans="1:10" x14ac:dyDescent="0.25">
      <c r="A10" s="7"/>
      <c r="B10" s="2"/>
      <c r="C10" s="2"/>
    </row>
    <row r="11" spans="1:10" x14ac:dyDescent="0.25">
      <c r="A11" s="6"/>
      <c r="C11" s="2"/>
    </row>
    <row r="14" spans="1:10" x14ac:dyDescent="0.25">
      <c r="B14" s="8"/>
      <c r="C14" s="8"/>
      <c r="D14" s="8"/>
      <c r="E14" s="8"/>
      <c r="F14" s="8"/>
      <c r="G14" s="8"/>
      <c r="H14" s="8"/>
    </row>
    <row r="15" spans="1:10" x14ac:dyDescent="0.25">
      <c r="D15" s="2"/>
      <c r="E15" s="2"/>
      <c r="F15" s="2"/>
      <c r="G15" s="2"/>
      <c r="H15" s="2"/>
      <c r="I15" s="2"/>
      <c r="J15" s="2"/>
    </row>
    <row r="16" spans="1:10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9B89-D928-4593-85EA-788FC94C67E0}">
  <dimension ref="A1:H9"/>
  <sheetViews>
    <sheetView workbookViewId="0">
      <selection activeCell="E33" sqref="E33"/>
    </sheetView>
  </sheetViews>
  <sheetFormatPr defaultRowHeight="15" x14ac:dyDescent="0.25"/>
  <sheetData>
    <row r="1" spans="1:8" ht="18.75" x14ac:dyDescent="0.3">
      <c r="A1" s="10" t="s">
        <v>13</v>
      </c>
      <c r="B1" s="10"/>
      <c r="C1" s="10"/>
      <c r="D1" s="10"/>
      <c r="E1" s="10"/>
      <c r="F1" s="10"/>
      <c r="G1" s="10"/>
      <c r="H1" s="10"/>
    </row>
    <row r="3" spans="1:8" x14ac:dyDescent="0.25">
      <c r="B3" s="8">
        <v>2019</v>
      </c>
      <c r="C3" s="8">
        <v>2020</v>
      </c>
      <c r="D3" s="8">
        <v>2021</v>
      </c>
      <c r="E3" s="8">
        <v>2022</v>
      </c>
      <c r="F3" s="8">
        <v>2023</v>
      </c>
      <c r="G3" s="8">
        <v>2024</v>
      </c>
      <c r="H3" s="8">
        <v>2025</v>
      </c>
    </row>
    <row r="4" spans="1:8" x14ac:dyDescent="0.25">
      <c r="D4" s="2"/>
      <c r="E4" s="2"/>
      <c r="F4" s="2"/>
      <c r="G4" s="2"/>
      <c r="H4" s="2"/>
    </row>
    <row r="5" spans="1:8" x14ac:dyDescent="0.25">
      <c r="A5" t="s">
        <v>14</v>
      </c>
      <c r="B5" s="2">
        <v>3.140106055968428</v>
      </c>
      <c r="C5" s="2">
        <v>-6.6192766173730151</v>
      </c>
      <c r="D5" s="2">
        <v>14.069291387025133</v>
      </c>
      <c r="E5" s="2">
        <v>-3.9447324824382557</v>
      </c>
      <c r="F5" s="2">
        <v>-1.3864161188134831</v>
      </c>
      <c r="G5" s="2">
        <v>1.4314686863101456</v>
      </c>
      <c r="H5" s="2">
        <v>3.3811927766333238</v>
      </c>
    </row>
    <row r="6" spans="1:8" x14ac:dyDescent="0.25">
      <c r="A6" t="s">
        <v>15</v>
      </c>
      <c r="B6" s="2">
        <v>0.58350453365910337</v>
      </c>
      <c r="C6" s="2">
        <v>0.85876335600204567</v>
      </c>
      <c r="D6" s="2">
        <v>0.63303443599428122</v>
      </c>
      <c r="E6" s="2">
        <v>1.5725666792643009</v>
      </c>
      <c r="F6" s="2">
        <v>7.8708702702787597E-3</v>
      </c>
      <c r="G6" s="2">
        <v>-8.0910140948281514E-2</v>
      </c>
      <c r="H6" s="2">
        <v>0.22741915648254285</v>
      </c>
    </row>
    <row r="7" spans="1:8" x14ac:dyDescent="0.25">
      <c r="A7" t="s">
        <v>16</v>
      </c>
      <c r="B7" s="2">
        <v>0.82483356163246369</v>
      </c>
      <c r="C7" s="2">
        <v>-3.2668781476229674</v>
      </c>
      <c r="D7" s="2">
        <v>5.2384213771373682</v>
      </c>
      <c r="E7" s="2">
        <v>-0.84734992369602069</v>
      </c>
      <c r="F7" s="2">
        <v>-3.0515869994096687</v>
      </c>
      <c r="G7" s="2">
        <v>3.8098353348210114</v>
      </c>
      <c r="H7" s="2">
        <v>4.6281152344522853</v>
      </c>
    </row>
    <row r="8" spans="1:8" x14ac:dyDescent="0.25">
      <c r="A8" t="s">
        <v>17</v>
      </c>
      <c r="B8" s="2">
        <v>-0.99613023995482719</v>
      </c>
      <c r="C8" s="2">
        <v>0.75141387601855769</v>
      </c>
      <c r="D8" s="2">
        <v>-6.0107472908775863</v>
      </c>
      <c r="E8" s="2">
        <v>-1.428335340086117</v>
      </c>
      <c r="F8" s="2">
        <v>5.6181532141410138</v>
      </c>
      <c r="G8" s="2">
        <v>-4.8897234567507217</v>
      </c>
      <c r="H8" s="2">
        <v>-5.8202293787505806</v>
      </c>
    </row>
    <row r="9" spans="1:8" x14ac:dyDescent="0.25">
      <c r="A9" t="s">
        <v>11</v>
      </c>
      <c r="B9" s="2">
        <f>SUM(B5:B8)</f>
        <v>3.5523139113051685</v>
      </c>
      <c r="C9" s="2">
        <f t="shared" ref="C9:H9" si="0">SUM(C5:C8)</f>
        <v>-8.2759775329753786</v>
      </c>
      <c r="D9" s="2">
        <f t="shared" si="0"/>
        <v>13.929999909279196</v>
      </c>
      <c r="E9" s="2">
        <f t="shared" si="0"/>
        <v>-4.6478510669560924</v>
      </c>
      <c r="F9" s="2">
        <f t="shared" si="0"/>
        <v>1.1880209661881409</v>
      </c>
      <c r="G9" s="2">
        <f t="shared" si="0"/>
        <v>0.27067042343215331</v>
      </c>
      <c r="H9" s="2">
        <f t="shared" si="0"/>
        <v>2.4164977888175709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Real</vt:lpstr>
      <vt:lpstr>PIB PE RESURSE</vt:lpstr>
      <vt:lpstr>PIB PE UTILIZĂRI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Constantin Siscanu</cp:lastModifiedBy>
  <dcterms:created xsi:type="dcterms:W3CDTF">2026-04-10T05:50:48Z</dcterms:created>
  <dcterms:modified xsi:type="dcterms:W3CDTF">2026-05-12T08:52:41Z</dcterms:modified>
</cp:coreProperties>
</file>