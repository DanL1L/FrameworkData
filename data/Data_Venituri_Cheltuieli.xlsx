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5F02513D-0AED-1F44-9004-2112B04BE7C8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Venituri" sheetId="1" r:id="rId1"/>
    <sheet name="Cheltuieli_F" sheetId="4" r:id="rId2"/>
    <sheet name="Cheltuieli_CE" sheetId="3" r:id="rId3"/>
    <sheet name="Datoria" sheetId="5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8" i="3" l="1"/>
  <c r="M86" i="4"/>
  <c r="M87" i="4"/>
  <c r="M88" i="4"/>
  <c r="M89" i="4"/>
  <c r="M90" i="4"/>
  <c r="M91" i="4"/>
  <c r="M92" i="4"/>
  <c r="M93" i="4"/>
  <c r="M75" i="4" l="1"/>
  <c r="M61" i="4" l="1"/>
  <c r="M51" i="4" l="1"/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2" i="4"/>
  <c r="M53" i="4"/>
  <c r="M54" i="4"/>
  <c r="M55" i="4"/>
  <c r="M56" i="4"/>
  <c r="M57" i="4"/>
  <c r="M58" i="4"/>
  <c r="M59" i="4"/>
  <c r="M60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6" i="4"/>
  <c r="M77" i="4"/>
  <c r="M78" i="4"/>
  <c r="M79" i="4"/>
  <c r="M80" i="4"/>
  <c r="M82" i="4"/>
  <c r="M83" i="4"/>
  <c r="M84" i="4"/>
  <c r="M85" i="4"/>
  <c r="M81" i="4"/>
</calcChain>
</file>

<file path=xl/sharedStrings.xml><?xml version="1.0" encoding="utf-8"?>
<sst xmlns="http://schemas.openxmlformats.org/spreadsheetml/2006/main" count="46" uniqueCount="42">
  <si>
    <t>Date</t>
  </si>
  <si>
    <t>Impozit pe venitul persoanelor fizice</t>
  </si>
  <si>
    <t>Impozit pe venitul persoanelor juridice</t>
  </si>
  <si>
    <t>Imp. pe proprietate</t>
  </si>
  <si>
    <t>TVA local</t>
  </si>
  <si>
    <t>TVA la marfurile importate</t>
  </si>
  <si>
    <t>Accize total</t>
  </si>
  <si>
    <t>Contribuţii de asigurări sociale de stat obligatorii</t>
  </si>
  <si>
    <t>Prime de asigurare obligatorie de asistenţă medicală</t>
  </si>
  <si>
    <t>Granturi</t>
  </si>
  <si>
    <t>Alte venituri</t>
  </si>
  <si>
    <t>TOTAL VENITURI</t>
  </si>
  <si>
    <t>Servicii de stat cu destinație generală</t>
  </si>
  <si>
    <t>Apărare națională</t>
  </si>
  <si>
    <t>Ordine publică și securitate națională</t>
  </si>
  <si>
    <t>Servicii în domeniul economiei</t>
  </si>
  <si>
    <t>Protecția mediului</t>
  </si>
  <si>
    <t>Gospodăria de locuințe și gospodăria serviciilor comunale</t>
  </si>
  <si>
    <t>Ocrotirea sănătății</t>
  </si>
  <si>
    <t>Cultură, sport, tineret, culte și odihnă</t>
  </si>
  <si>
    <t>Învățămînt</t>
  </si>
  <si>
    <t>Protecție socială</t>
  </si>
  <si>
    <t xml:space="preserve">(ocrotirea muncii)* inclusiv transferuri între instituțiile  BS </t>
  </si>
  <si>
    <t>Total Cheltuieli și active nefinanciare</t>
  </si>
  <si>
    <t>Cheltuieli</t>
  </si>
  <si>
    <t>Active nefinanciare</t>
  </si>
  <si>
    <t>Cheltuieli de personal</t>
  </si>
  <si>
    <t>Bunuri și servicii</t>
  </si>
  <si>
    <t>Dobânzi</t>
  </si>
  <si>
    <t>Subvenții</t>
  </si>
  <si>
    <t>Granturi acordate</t>
  </si>
  <si>
    <t>Prestații sociale</t>
  </si>
  <si>
    <t>Alte cheltuieli</t>
  </si>
  <si>
    <t>Mijloace fixe</t>
  </si>
  <si>
    <t>Stocuri de materiale</t>
  </si>
  <si>
    <t>Alte active nefinanciare</t>
  </si>
  <si>
    <t xml:space="preserve">Datoria internă </t>
  </si>
  <si>
    <t xml:space="preserve">Datoria externă </t>
  </si>
  <si>
    <t>Datoria externă USD</t>
  </si>
  <si>
    <t>Curs</t>
  </si>
  <si>
    <t>PIB</t>
  </si>
  <si>
    <t>TOTAL Cheltuieli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</si>
</sst>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8]mmmm\-yy;@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  <charset val="204"/>
    </font>
    <font>
      <sz val="11"/>
      <color theme="1"/>
      <name val="Times New Roman"/>
      <family val="1"/>
    </font>
    <font>
      <sz val="10"/>
      <name val="Times New Roman"/>
      <family val="1"/>
      <charset val="204"/>
    </font>
    <font>
      <sz val="10"/>
      <color theme="1"/>
      <name val="Times New Roman"/>
      <family val="1"/>
    </font>
    <font>
      <sz val="11"/>
      <color theme="1"/>
      <name val="Arial Nova Cond"/>
      <family val="2"/>
    </font>
    <font>
      <sz val="11"/>
      <name val="Arial Nova Cond"/>
      <family val="2"/>
    </font>
    <font>
      <sz val="11"/>
      <name val="Calibri"/>
      <family val="2"/>
    </font>
    <font>
      <sz val="11"/>
      <name val="Aptos Narrow"/>
    </font>
    <font>
      <b/>
      <sz val="11"/>
      <name val="Aptos Narrow"/>
    </font>
    <font>
      <sz val="11"/>
      <color theme="1"/>
      <name val="Aptos Narrow"/>
    </font>
    <font>
      <sz val="11"/>
      <color rgb="FFFF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8" fillId="0" borderId="0"/>
  </cellStyleXfs>
  <cellXfs count="74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3" fillId="0" borderId="0" xfId="0" applyFont="1" applyAlignment="1">
      <alignment horizontal="right"/>
    </xf>
    <xf numFmtId="164" fontId="3" fillId="5" borderId="0" xfId="0" applyNumberFormat="1" applyFont="1" applyFill="1"/>
    <xf numFmtId="165" fontId="3" fillId="5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6" borderId="0" xfId="0" applyNumberFormat="1" applyFill="1"/>
    <xf numFmtId="0" fontId="0" fillId="6" borderId="0" xfId="0" applyFill="1"/>
    <xf numFmtId="165" fontId="0" fillId="6" borderId="0" xfId="0" applyNumberFormat="1" applyFill="1"/>
    <xf numFmtId="165" fontId="6" fillId="0" borderId="9" xfId="0" applyNumberFormat="1" applyFont="1" applyBorder="1"/>
    <xf numFmtId="165" fontId="6" fillId="0" borderId="8" xfId="0" applyNumberFormat="1" applyFont="1" applyBorder="1"/>
    <xf numFmtId="165" fontId="6" fillId="0" borderId="1" xfId="0" applyNumberFormat="1" applyFont="1" applyBorder="1"/>
    <xf numFmtId="164" fontId="7" fillId="2" borderId="1" xfId="0" applyNumberFormat="1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164" fontId="9" fillId="0" borderId="0" xfId="0" applyNumberFormat="1" applyFont="1"/>
    <xf numFmtId="164" fontId="9" fillId="6" borderId="0" xfId="0" applyNumberFormat="1" applyFont="1" applyFill="1"/>
    <xf numFmtId="2" fontId="10" fillId="0" borderId="8" xfId="0" applyNumberFormat="1" applyFont="1" applyBorder="1"/>
    <xf numFmtId="2" fontId="10" fillId="0" borderId="9" xfId="0" applyNumberFormat="1" applyFont="1" applyBorder="1"/>
    <xf numFmtId="2" fontId="10" fillId="0" borderId="1" xfId="0" applyNumberFormat="1" applyFont="1" applyBorder="1"/>
    <xf numFmtId="165" fontId="11" fillId="0" borderId="0" xfId="0" applyNumberFormat="1" applyFont="1"/>
    <xf numFmtId="165" fontId="12" fillId="6" borderId="0" xfId="0" applyNumberFormat="1" applyFont="1" applyFill="1"/>
    <xf numFmtId="165" fontId="12" fillId="0" borderId="0" xfId="0" applyNumberFormat="1" applyFont="1"/>
    <xf numFmtId="0" fontId="13" fillId="0" borderId="12" xfId="0" applyFont="1" applyBorder="1"/>
    <xf numFmtId="0" fontId="13" fillId="7" borderId="12" xfId="0" applyFont="1" applyFill="1" applyBorder="1"/>
    <xf numFmtId="164" fontId="14" fillId="0" borderId="10" xfId="0" applyNumberFormat="1" applyFont="1" applyBorder="1"/>
    <xf numFmtId="164" fontId="14" fillId="7" borderId="10" xfId="0" applyNumberFormat="1" applyFont="1" applyFill="1" applyBorder="1"/>
    <xf numFmtId="0" fontId="14" fillId="0" borderId="11" xfId="0" applyFont="1" applyBorder="1"/>
    <xf numFmtId="0" fontId="14" fillId="7" borderId="11" xfId="0" applyFont="1" applyFill="1" applyBorder="1"/>
    <xf numFmtId="0" fontId="3" fillId="0" borderId="11" xfId="0" applyFont="1" applyBorder="1"/>
    <xf numFmtId="0" fontId="14" fillId="0" borderId="11" xfId="0" applyFont="1" applyBorder="1" applyAlignment="1">
      <alignment horizontal="center"/>
    </xf>
    <xf numFmtId="0" fontId="14" fillId="7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1" xfId="0" applyNumberFormat="1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4" fontId="3" fillId="7" borderId="0" xfId="0" applyNumberFormat="1" applyFont="1" applyFill="1"/>
    <xf numFmtId="165" fontId="3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0" fillId="7" borderId="0" xfId="0" applyFill="1"/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0" fontId="15" fillId="0" borderId="0" xfId="0" applyFont="1"/>
    <xf numFmtId="165" fontId="17" fillId="0" borderId="0" xfId="0" applyNumberFormat="1" applyFont="1"/>
    <xf numFmtId="164" fontId="17" fillId="6" borderId="0" xfId="0" applyNumberFormat="1" applyFont="1" applyFill="1"/>
    <xf numFmtId="0" fontId="17" fillId="6" borderId="0" xfId="0" applyFont="1" applyFill="1"/>
    <xf numFmtId="164" fontId="15" fillId="0" borderId="0" xfId="0" applyNumberFormat="1" applyFont="1"/>
    <xf numFmtId="0" fontId="18" fillId="0" borderId="0" xfId="0" applyFont="1"/>
    <xf numFmtId="1" fontId="17" fillId="0" borderId="0" xfId="0" applyNumberFormat="1" applyFont="1"/>
    <xf numFmtId="164" fontId="17" fillId="0" borderId="7" xfId="0" applyNumberFormat="1" applyFont="1" applyBorder="1"/>
    <xf numFmtId="2" fontId="17" fillId="0" borderId="0" xfId="0" applyNumberFormat="1" applyFont="1"/>
    <xf numFmtId="164" fontId="17" fillId="7" borderId="7" xfId="0" applyNumberFormat="1" applyFont="1" applyFill="1" applyBorder="1"/>
    <xf numFmtId="0" fontId="17" fillId="7" borderId="0" xfId="0" applyFont="1" applyFill="1"/>
    <xf numFmtId="164" fontId="0" fillId="7" borderId="0" xfId="0" applyNumberFormat="1" applyFill="1"/>
    <xf numFmtId="165" fontId="0" fillId="7" borderId="0" xfId="0" applyNumberFormat="1" applyFill="1"/>
  </cellXfs>
  <cellStyles count="2">
    <cellStyle name="Normal" xfId="0" builtinId="0"/>
    <cellStyle name="Обычный_Лист1" xfId="1" xr:uid="{79D281C3-F984-47EA-A2C2-3AD6FDF67535}"/>
  </cellStyles>
  <dxfs count="34"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scheme val="none"/>
      </font>
      <numFmt numFmtId="164" formatCode="[$-418]mmmm\-yy;@"/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left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64" formatCode="[$-418]mmmm\-yy;@"/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65" formatCode="0.0"/>
    </dxf>
    <dxf>
      <numFmt numFmtId="164" formatCode="[$-418]mmmm\-yy;@"/>
    </dxf>
    <dxf>
      <numFmt numFmtId="164" formatCode="[$-418]mmmm\-yy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My%20Drive/Nicolai/finante%20publice/Baza%20de%20date%20Venituri%20si%20Cheltuieli.xlsx" TargetMode="External"/><Relationship Id="rId1" Type="http://schemas.openxmlformats.org/officeDocument/2006/relationships/externalLinkPath" Target="file:///G:/My%20Drive/Nicolai/finante%20publice/Baza%20de%20date%20Venituri%20si%20Cheltuie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Venituri"/>
      <sheetName val="Pivot VEN"/>
      <sheetName val="Ven creșteri"/>
      <sheetName val="Cheltuieli, clasif. funcț."/>
      <sheetName val="Pivot CH funct."/>
      <sheetName val="Chelt funct crest"/>
      <sheetName val="Cheltuieli, clasif. econ."/>
      <sheetName val="Chelt econ crest"/>
      <sheetName val="Sheet1"/>
      <sheetName val="Sheet2"/>
      <sheetName val="Sheet4"/>
      <sheetName val="Sheet5"/>
      <sheetName val="Baza de date Venituri si Chelt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995EA-88B0-4EC9-9C87-DBE683949867}" name="Table1" displayName="Table1" ref="A1:L100" totalsRowShown="0" headerRowDxfId="33" headerRowBorderDxfId="32" tableBorderDxfId="31">
  <autoFilter ref="A1:L100" xr:uid="{9A8995EA-88B0-4EC9-9C87-DBE683949867}"/>
  <tableColumns count="12">
    <tableColumn id="1" xr3:uid="{0C77EDF9-7226-4CE7-AC3B-377E597C8A46}" name="Date" dataDxfId="30" totalsRowDxfId="29"/>
    <tableColumn id="2" xr3:uid="{C3857ACB-FDAA-4839-B0E5-6DDBA0E72643}" name="Impozit pe venitul persoanelor fizice"/>
    <tableColumn id="3" xr3:uid="{5270352C-EC1E-477F-A0CF-94B294637C69}" name="Impozit pe venitul persoanelor juridice"/>
    <tableColumn id="4" xr3:uid="{35139C60-ADD4-4E4C-91FD-BE0921EEDA9A}" name="Imp. pe proprietate"/>
    <tableColumn id="5" xr3:uid="{43D9995C-ACD5-4EA7-BB4D-EC2706789E10}" name="TVA local"/>
    <tableColumn id="6" xr3:uid="{2B888F18-18E4-4AF6-993E-659F1C17CA6B}" name="TVA la marfurile importate"/>
    <tableColumn id="7" xr3:uid="{67D3459C-62AD-40B1-A626-0F6F71325799}" name="Accize total"/>
    <tableColumn id="8" xr3:uid="{AC414890-7260-4FC1-A1BE-80352B4D68B0}" name="Contribuţii de asigurări sociale de stat obligatorii"/>
    <tableColumn id="9" xr3:uid="{CF9CE1A6-85A9-4E53-826B-C681C2B1F7FC}" name="Prime de asigurare obligatorie de asistenţă medicală"/>
    <tableColumn id="10" xr3:uid="{6D4BAE4C-7961-4C3C-A5F4-A4017AE9946D}" name="Granturi"/>
    <tableColumn id="11" xr3:uid="{2C9C8E23-F549-45D1-9D9C-EB63077FC1C5}" name="Alte venituri" dataDxfId="28"/>
    <tableColumn id="12" xr3:uid="{7363AF1A-969A-4E2C-A3EC-1F31BBE35C33}" name="TOTAL VENITURI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315B7-8549-465D-B7DF-0D685F6308A9}" name="Table2" displayName="Table2" ref="A1:K88" totalsRowShown="0" headerRowDxfId="1" dataDxfId="0" headerRowBorderDxfId="27" tableBorderDxfId="26">
  <autoFilter ref="A1:K88" xr:uid="{2FE315B7-8549-465D-B7DF-0D685F6308A9}"/>
  <tableColumns count="11">
    <tableColumn id="1" xr3:uid="{F0E90E7F-C135-4525-94E1-47BF177CFA7B}" name="Date" dataDxfId="12"/>
    <tableColumn id="2" xr3:uid="{A61BBB99-6C78-4532-83F4-09CCE02A11FF}" name="Servicii de stat cu destinație generală" dataDxfId="11"/>
    <tableColumn id="3" xr3:uid="{8B387F9C-132C-4D0D-9322-FE9D09A4DC6E}" name="Apărare națională" dataDxfId="10"/>
    <tableColumn id="4" xr3:uid="{EB6553F4-75FA-4153-B21C-671AF885154A}" name="Ordine publică și securitate națională" dataDxfId="9"/>
    <tableColumn id="5" xr3:uid="{CE6D803A-E5B2-4374-ABBC-D4B45A6E162A}" name="Servicii în domeniul economiei" dataDxfId="8"/>
    <tableColumn id="6" xr3:uid="{2481E615-53B0-493D-949C-48BB4CCD9AB0}" name="Protecția mediului" dataDxfId="7"/>
    <tableColumn id="7" xr3:uid="{429CA9E7-8FCF-4FCF-A03F-C6FA9FD43A1D}" name="Gospodăria de locuințe și gospodăria serviciilor comunale" dataDxfId="6"/>
    <tableColumn id="8" xr3:uid="{474D442B-99E4-4D40-87A2-56257B54165A}" name="Ocrotirea sănătății" dataDxfId="5"/>
    <tableColumn id="9" xr3:uid="{9CE27E24-3F2E-4C37-9C6A-A57842CEA514}" name="Cultură, sport, tineret, culte și odihnă" dataDxfId="4"/>
    <tableColumn id="10" xr3:uid="{BB6F331C-7BB6-4F2E-A6ED-A0F3AE0D769F}" name="Învățămînt" dataDxfId="3"/>
    <tableColumn id="11" xr3:uid="{3F4DDDA1-59EF-428F-B731-E6108203ED9A}" name="Protecție socială" dataDxfId="2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4147C9-B421-43FC-B498-380247088266}" name="Table3" displayName="Table3" ref="A2:K101" totalsRowShown="0" headerRowDxfId="25" dataDxfId="24">
  <autoFilter ref="A2:K101" xr:uid="{824147C9-B421-43FC-B498-380247088266}"/>
  <tableColumns count="11">
    <tableColumn id="1" xr3:uid="{AF448E6A-F20E-4F8C-8F95-004926FBDE60}" name="Date" dataDxfId="23"/>
    <tableColumn id="2" xr3:uid="{41C650A5-8D4A-4B4E-999B-EF5F2DC7FB32}" name="Cheltuieli de personal" dataDxfId="22"/>
    <tableColumn id="3" xr3:uid="{2DF40DE4-6C3B-4417-90A9-0FEF5ACB35EC}" name="Bunuri și servicii" dataDxfId="21"/>
    <tableColumn id="4" xr3:uid="{506B3FE6-1B79-43D4-8D6E-DBF5C1F18CD0}" name="Dobânzi" dataDxfId="20"/>
    <tableColumn id="5" xr3:uid="{162D1BE4-2DF4-40DC-B3AB-61724BEFE917}" name="Subvenții" dataDxfId="19"/>
    <tableColumn id="6" xr3:uid="{83DAB8B2-777B-4D98-83F1-DD4E3D27610D}" name="Granturi acordate" dataDxfId="18"/>
    <tableColumn id="7" xr3:uid="{EC6155A8-B889-4BDB-816B-6AA2DA4F6003}" name="Prestații sociale" dataDxfId="17"/>
    <tableColumn id="8" xr3:uid="{7A09D2F0-C628-43EA-91AA-98CA287FFD10}" name="Alte cheltuieli" dataDxfId="16"/>
    <tableColumn id="9" xr3:uid="{189F325D-F099-4D57-9B30-ED4236547F53}" name="Mijloace fixe" dataDxfId="15"/>
    <tableColumn id="10" xr3:uid="{26B20D8B-DDBD-4C61-BE6D-1C27CB215669}" name="Stocuri de materiale" dataDxfId="14"/>
    <tableColumn id="11" xr3:uid="{3017DF9F-61F7-4AF5-BE90-617343CE5BF7}" name="Alte active nefinanciare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O100"/>
  <sheetViews>
    <sheetView zoomScale="7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9" sqref="B19"/>
    </sheetView>
  </sheetViews>
  <sheetFormatPr baseColWidth="10" defaultColWidth="8.83203125" defaultRowHeight="15" x14ac:dyDescent="0.2"/>
  <cols>
    <col min="1" max="1" width="14.1640625" bestFit="1" customWidth="1"/>
    <col min="2" max="2" width="24.33203125" bestFit="1" customWidth="1"/>
    <col min="3" max="3" width="24.83203125" bestFit="1" customWidth="1"/>
    <col min="4" max="4" width="12.33203125" bestFit="1" customWidth="1"/>
    <col min="5" max="5" width="14" bestFit="1" customWidth="1"/>
    <col min="6" max="6" width="20.5" customWidth="1"/>
    <col min="7" max="7" width="16.5" bestFit="1" customWidth="1"/>
    <col min="8" max="8" width="32" customWidth="1"/>
    <col min="9" max="9" width="29.5" customWidth="1"/>
    <col min="10" max="10" width="12.6640625" bestFit="1" customWidth="1"/>
    <col min="11" max="11" width="16.33203125" bestFit="1" customWidth="1"/>
    <col min="12" max="12" width="20.5" bestFit="1" customWidth="1"/>
  </cols>
  <sheetData>
    <row r="1" spans="1:12" ht="34" x14ac:dyDescent="0.2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2" t="s">
        <v>9</v>
      </c>
      <c r="K1" s="11" t="s">
        <v>10</v>
      </c>
      <c r="L1" s="11" t="s">
        <v>11</v>
      </c>
    </row>
    <row r="2" spans="1:12" x14ac:dyDescent="0.2">
      <c r="A2" s="1">
        <v>43101</v>
      </c>
      <c r="B2">
        <v>293</v>
      </c>
      <c r="C2">
        <v>230.4</v>
      </c>
      <c r="D2">
        <v>15.099999999999998</v>
      </c>
      <c r="E2">
        <v>663.30000000000007</v>
      </c>
      <c r="F2">
        <v>895</v>
      </c>
      <c r="G2">
        <v>319.3</v>
      </c>
      <c r="H2">
        <v>953.8</v>
      </c>
      <c r="I2">
        <v>294</v>
      </c>
      <c r="J2">
        <v>10.199999999999999</v>
      </c>
      <c r="K2" s="4">
        <v>204.69999999999982</v>
      </c>
      <c r="L2">
        <v>3878.8</v>
      </c>
    </row>
    <row r="3" spans="1:12" x14ac:dyDescent="0.2">
      <c r="A3" s="1">
        <v>43132</v>
      </c>
      <c r="B3">
        <v>292.89999999999998</v>
      </c>
      <c r="C3">
        <v>238.70000000000002</v>
      </c>
      <c r="D3">
        <v>8.8000000000000007</v>
      </c>
      <c r="E3">
        <v>475.19999999999993</v>
      </c>
      <c r="F3">
        <v>989.40000000000009</v>
      </c>
      <c r="G3">
        <v>266.49999999999994</v>
      </c>
      <c r="H3">
        <v>1008.2</v>
      </c>
      <c r="I3">
        <v>328.70000000000005</v>
      </c>
      <c r="J3">
        <v>39.299999999999997</v>
      </c>
      <c r="K3" s="4">
        <v>224.89999999999964</v>
      </c>
      <c r="L3">
        <v>3872.5999999999995</v>
      </c>
    </row>
    <row r="4" spans="1:12" x14ac:dyDescent="0.2">
      <c r="A4" s="1">
        <v>43160</v>
      </c>
      <c r="B4">
        <v>312.20000000000005</v>
      </c>
      <c r="C4">
        <v>1521.6</v>
      </c>
      <c r="D4">
        <v>13.500000000000007</v>
      </c>
      <c r="E4">
        <v>494.09999999999991</v>
      </c>
      <c r="F4">
        <v>1184.4000000000001</v>
      </c>
      <c r="G4">
        <v>398.30000000000007</v>
      </c>
      <c r="H4">
        <v>1014.8000000000002</v>
      </c>
      <c r="I4">
        <v>343.4</v>
      </c>
      <c r="J4">
        <v>17.599999999999994</v>
      </c>
      <c r="K4" s="4">
        <v>240.29999999999927</v>
      </c>
      <c r="L4">
        <v>5540.1999999999989</v>
      </c>
    </row>
    <row r="5" spans="1:12" x14ac:dyDescent="0.2">
      <c r="A5" s="1">
        <v>43191</v>
      </c>
      <c r="B5">
        <v>342.1</v>
      </c>
      <c r="C5">
        <v>278.10000000000014</v>
      </c>
      <c r="D5">
        <v>18.299999999999997</v>
      </c>
      <c r="E5">
        <v>443.30000000000018</v>
      </c>
      <c r="F5">
        <v>1127</v>
      </c>
      <c r="G5">
        <v>410.6</v>
      </c>
      <c r="H5">
        <v>1016.8999999999996</v>
      </c>
      <c r="I5">
        <v>312.99999999999989</v>
      </c>
      <c r="J5">
        <v>28.800000000000011</v>
      </c>
      <c r="K5" s="4">
        <v>349.19999999999936</v>
      </c>
      <c r="L5">
        <v>4327.2999999999993</v>
      </c>
    </row>
    <row r="6" spans="1:12" x14ac:dyDescent="0.2">
      <c r="A6" s="1">
        <v>43221</v>
      </c>
      <c r="B6">
        <v>393.99999999999977</v>
      </c>
      <c r="C6">
        <v>187.69999999999982</v>
      </c>
      <c r="D6">
        <v>42.5</v>
      </c>
      <c r="E6">
        <v>559.09999999999991</v>
      </c>
      <c r="F6">
        <v>1250.3999999999996</v>
      </c>
      <c r="G6">
        <v>463.29999999999995</v>
      </c>
      <c r="H6">
        <v>1100.6000000000004</v>
      </c>
      <c r="I6">
        <v>332.5</v>
      </c>
      <c r="J6">
        <v>9.1999999999999886</v>
      </c>
      <c r="K6" s="4">
        <v>432</v>
      </c>
      <c r="L6">
        <v>4771.2999999999993</v>
      </c>
    </row>
    <row r="7" spans="1:12" x14ac:dyDescent="0.2">
      <c r="A7" s="1">
        <v>43252</v>
      </c>
      <c r="B7">
        <v>389.20000000000027</v>
      </c>
      <c r="C7">
        <v>579.09999999999991</v>
      </c>
      <c r="D7">
        <v>239.40000000000003</v>
      </c>
      <c r="E7">
        <v>557.40000000000009</v>
      </c>
      <c r="F7">
        <v>1175.9000000000005</v>
      </c>
      <c r="G7">
        <v>487.89999999999964</v>
      </c>
      <c r="H7">
        <v>1207.0999999999995</v>
      </c>
      <c r="I7">
        <v>365.30000000000018</v>
      </c>
      <c r="J7">
        <v>20.400000000000006</v>
      </c>
      <c r="K7" s="4">
        <v>375.30000000000382</v>
      </c>
      <c r="L7">
        <v>5397.0000000000036</v>
      </c>
    </row>
    <row r="8" spans="1:12" x14ac:dyDescent="0.2">
      <c r="A8" s="1">
        <v>43282</v>
      </c>
      <c r="B8">
        <v>359.90000000000009</v>
      </c>
      <c r="C8">
        <v>223.40000000000009</v>
      </c>
      <c r="D8">
        <v>50.699999999999989</v>
      </c>
      <c r="E8">
        <v>738.59999999999991</v>
      </c>
      <c r="F8">
        <v>1229</v>
      </c>
      <c r="G8">
        <v>533.60000000000036</v>
      </c>
      <c r="H8">
        <v>1152.8000000000002</v>
      </c>
      <c r="I8">
        <v>353.29999999999973</v>
      </c>
      <c r="J8">
        <v>45.5</v>
      </c>
      <c r="K8" s="4">
        <v>365.40000000000691</v>
      </c>
      <c r="L8">
        <v>5052.200000000008</v>
      </c>
    </row>
    <row r="9" spans="1:12" x14ac:dyDescent="0.2">
      <c r="A9" s="1">
        <v>43313</v>
      </c>
      <c r="B9">
        <v>281.80000000000018</v>
      </c>
      <c r="C9">
        <v>166.79999999999973</v>
      </c>
      <c r="D9">
        <v>41.299999999999955</v>
      </c>
      <c r="E9">
        <v>555.5</v>
      </c>
      <c r="F9">
        <v>1311.7999999999993</v>
      </c>
      <c r="G9">
        <v>581.5</v>
      </c>
      <c r="H9">
        <v>1052.5000000000009</v>
      </c>
      <c r="I9">
        <v>324</v>
      </c>
      <c r="J9">
        <v>3.5000000000000284</v>
      </c>
      <c r="K9" s="4">
        <v>242.19999999998709</v>
      </c>
      <c r="L9">
        <v>4560.8999999999869</v>
      </c>
    </row>
    <row r="10" spans="1:12" x14ac:dyDescent="0.2">
      <c r="A10" s="1">
        <v>43344</v>
      </c>
      <c r="B10">
        <v>360.99999999999955</v>
      </c>
      <c r="C10">
        <v>651.90000000000009</v>
      </c>
      <c r="D10">
        <v>16.800000000000011</v>
      </c>
      <c r="E10">
        <v>719.10000000000036</v>
      </c>
      <c r="F10">
        <v>1233.3000000000011</v>
      </c>
      <c r="G10">
        <v>517</v>
      </c>
      <c r="H10">
        <v>1121.2999999999993</v>
      </c>
      <c r="I10">
        <v>332.70000000000027</v>
      </c>
      <c r="J10">
        <v>35.099999999999994</v>
      </c>
      <c r="K10" s="4">
        <v>257.30000000000655</v>
      </c>
      <c r="L10">
        <v>5245.5000000000073</v>
      </c>
    </row>
    <row r="11" spans="1:12" x14ac:dyDescent="0.2">
      <c r="A11" s="1">
        <v>43374</v>
      </c>
      <c r="B11">
        <v>299.20000000000027</v>
      </c>
      <c r="C11">
        <v>280.90000000000055</v>
      </c>
      <c r="D11">
        <v>54</v>
      </c>
      <c r="E11">
        <v>647.79999999999927</v>
      </c>
      <c r="F11">
        <v>1372.1999999999989</v>
      </c>
      <c r="G11">
        <v>487.5</v>
      </c>
      <c r="H11">
        <v>1127.2000000000007</v>
      </c>
      <c r="I11">
        <v>348.90000000000009</v>
      </c>
      <c r="J11">
        <v>44.099999999999966</v>
      </c>
      <c r="K11" s="4">
        <v>331.60000000000218</v>
      </c>
      <c r="L11">
        <v>4993.4000000000015</v>
      </c>
    </row>
    <row r="12" spans="1:12" x14ac:dyDescent="0.2">
      <c r="A12" s="1">
        <v>43405</v>
      </c>
      <c r="B12">
        <v>286.29999999999973</v>
      </c>
      <c r="C12">
        <v>202.79999999999927</v>
      </c>
      <c r="D12">
        <v>16.900000000000091</v>
      </c>
      <c r="E12">
        <v>611</v>
      </c>
      <c r="F12">
        <v>1265.5</v>
      </c>
      <c r="G12">
        <v>581.20000000000073</v>
      </c>
      <c r="H12">
        <v>1058.5</v>
      </c>
      <c r="I12">
        <v>354.09999999999991</v>
      </c>
      <c r="J12">
        <v>12.300000000000011</v>
      </c>
      <c r="K12" s="4">
        <v>217.29999999998745</v>
      </c>
      <c r="L12">
        <v>4605.8999999999869</v>
      </c>
    </row>
    <row r="13" spans="1:12" x14ac:dyDescent="0.2">
      <c r="A13" s="1">
        <v>43435</v>
      </c>
      <c r="B13">
        <v>370.40000000000009</v>
      </c>
      <c r="C13">
        <v>795.30000000000018</v>
      </c>
      <c r="D13">
        <v>46.499999999999886</v>
      </c>
      <c r="E13">
        <v>641.10000000000036</v>
      </c>
      <c r="F13">
        <v>1330.8000000000011</v>
      </c>
      <c r="G13">
        <v>636.59999999999945</v>
      </c>
      <c r="H13">
        <v>1224.1999999999989</v>
      </c>
      <c r="I13">
        <v>427.70000000000027</v>
      </c>
      <c r="J13">
        <v>121.39999999999998</v>
      </c>
      <c r="K13" s="4">
        <v>156.80000000002474</v>
      </c>
      <c r="L13">
        <v>5750.8000000000247</v>
      </c>
    </row>
    <row r="14" spans="1:12" x14ac:dyDescent="0.2">
      <c r="A14" s="1">
        <v>43466</v>
      </c>
      <c r="B14">
        <v>277.29999999999995</v>
      </c>
      <c r="C14">
        <v>273.90000000000003</v>
      </c>
      <c r="D14">
        <v>14.2</v>
      </c>
      <c r="E14">
        <v>734.80000000000007</v>
      </c>
      <c r="F14">
        <v>858.9</v>
      </c>
      <c r="G14">
        <v>287.60000000000002</v>
      </c>
      <c r="H14">
        <v>980.5</v>
      </c>
      <c r="I14">
        <v>375.3</v>
      </c>
      <c r="J14">
        <v>50.1</v>
      </c>
      <c r="K14" s="4">
        <v>374.89999999999873</v>
      </c>
      <c r="L14">
        <v>4227.4999999999991</v>
      </c>
    </row>
    <row r="15" spans="1:12" x14ac:dyDescent="0.2">
      <c r="A15" s="1">
        <v>43497</v>
      </c>
      <c r="B15">
        <v>300.60000000000002</v>
      </c>
      <c r="C15">
        <v>258.49999999999994</v>
      </c>
      <c r="D15">
        <v>8.9000000000000021</v>
      </c>
      <c r="E15">
        <v>524.4</v>
      </c>
      <c r="F15">
        <v>1050.6999999999998</v>
      </c>
      <c r="G15">
        <v>361.69999999999993</v>
      </c>
      <c r="H15">
        <v>1094.3000000000002</v>
      </c>
      <c r="I15">
        <v>384.3</v>
      </c>
      <c r="J15">
        <v>8.2999999999999972</v>
      </c>
      <c r="K15" s="4">
        <v>221.59999999999854</v>
      </c>
      <c r="L15">
        <v>4213.2999999999984</v>
      </c>
    </row>
    <row r="16" spans="1:12" x14ac:dyDescent="0.2">
      <c r="A16" s="1">
        <v>43525</v>
      </c>
      <c r="B16">
        <v>341.50000000000011</v>
      </c>
      <c r="C16">
        <v>1286.5999999999999</v>
      </c>
      <c r="D16">
        <v>18.300000000000004</v>
      </c>
      <c r="E16">
        <v>521.89999999999986</v>
      </c>
      <c r="F16">
        <v>1336.2000000000003</v>
      </c>
      <c r="G16">
        <v>404.10000000000014</v>
      </c>
      <c r="H16">
        <v>1066.0999999999999</v>
      </c>
      <c r="I16">
        <v>391.4</v>
      </c>
      <c r="J16">
        <v>20.800000000000004</v>
      </c>
      <c r="K16" s="4">
        <v>316.70000000000346</v>
      </c>
      <c r="L16">
        <v>5703.600000000004</v>
      </c>
    </row>
    <row r="17" spans="1:12" x14ac:dyDescent="0.2">
      <c r="A17" s="1">
        <v>43556</v>
      </c>
      <c r="B17">
        <v>376.5</v>
      </c>
      <c r="C17">
        <v>313.70000000000027</v>
      </c>
      <c r="D17">
        <v>17</v>
      </c>
      <c r="E17">
        <v>528.60000000000036</v>
      </c>
      <c r="F17">
        <v>1379.0999999999995</v>
      </c>
      <c r="G17">
        <v>497.59999999999968</v>
      </c>
      <c r="H17">
        <v>1115.2000000000003</v>
      </c>
      <c r="I17">
        <v>376</v>
      </c>
      <c r="J17">
        <v>47.099999999999994</v>
      </c>
      <c r="K17" s="4">
        <v>361.29999999999382</v>
      </c>
      <c r="L17">
        <v>5012.0999999999949</v>
      </c>
    </row>
    <row r="18" spans="1:12" x14ac:dyDescent="0.2">
      <c r="A18" s="1">
        <v>43586</v>
      </c>
      <c r="B18">
        <v>347</v>
      </c>
      <c r="C18">
        <v>208.99999999999955</v>
      </c>
      <c r="D18">
        <v>63.7</v>
      </c>
      <c r="E18">
        <v>590.49999999999955</v>
      </c>
      <c r="F18">
        <v>1297.6000000000004</v>
      </c>
      <c r="G18">
        <v>519.00000000000023</v>
      </c>
      <c r="H18">
        <v>1127.5999999999995</v>
      </c>
      <c r="I18">
        <v>391.40000000000009</v>
      </c>
      <c r="J18">
        <v>18.000000000000014</v>
      </c>
      <c r="K18" s="4">
        <v>251.50000000000364</v>
      </c>
      <c r="L18">
        <v>4815.3000000000029</v>
      </c>
    </row>
    <row r="19" spans="1:12" x14ac:dyDescent="0.2">
      <c r="A19" s="1">
        <v>43617</v>
      </c>
      <c r="B19">
        <v>348.79999999999973</v>
      </c>
      <c r="C19">
        <v>599.20000000000027</v>
      </c>
      <c r="D19">
        <v>229.39999999999992</v>
      </c>
      <c r="E19">
        <v>592.40000000000009</v>
      </c>
      <c r="F19">
        <v>1213.5</v>
      </c>
      <c r="G19">
        <v>501.40000000000009</v>
      </c>
      <c r="H19">
        <v>1247.1999999999998</v>
      </c>
      <c r="I19">
        <v>424</v>
      </c>
      <c r="J19">
        <v>5.0999999999999659</v>
      </c>
      <c r="K19" s="4">
        <v>331.90000000000146</v>
      </c>
      <c r="L19">
        <v>5492.9000000000015</v>
      </c>
    </row>
    <row r="20" spans="1:12" x14ac:dyDescent="0.2">
      <c r="A20" s="1">
        <v>43647</v>
      </c>
      <c r="B20">
        <v>333.70000000000027</v>
      </c>
      <c r="C20">
        <v>229.5</v>
      </c>
      <c r="D20">
        <v>51.900000000000034</v>
      </c>
      <c r="E20">
        <v>666.20000000000027</v>
      </c>
      <c r="F20">
        <v>1364.2000000000007</v>
      </c>
      <c r="G20">
        <v>580.79999999999973</v>
      </c>
      <c r="H20">
        <v>1202.3000000000002</v>
      </c>
      <c r="I20">
        <v>410.09999999999991</v>
      </c>
      <c r="J20">
        <v>326.80000000000007</v>
      </c>
      <c r="K20" s="4">
        <v>389.29999999999836</v>
      </c>
      <c r="L20">
        <v>5554.7999999999993</v>
      </c>
    </row>
    <row r="21" spans="1:12" x14ac:dyDescent="0.2">
      <c r="A21" s="1">
        <v>43678</v>
      </c>
      <c r="B21">
        <v>301.90000000000009</v>
      </c>
      <c r="C21">
        <v>154.5</v>
      </c>
      <c r="D21">
        <v>49.10000000000008</v>
      </c>
      <c r="E21">
        <v>683.39999999999964</v>
      </c>
      <c r="F21">
        <v>1328.5</v>
      </c>
      <c r="G21">
        <v>552.29999999999973</v>
      </c>
      <c r="H21">
        <v>1089.1999999999998</v>
      </c>
      <c r="I21">
        <v>377.40000000000009</v>
      </c>
      <c r="J21">
        <v>1.6999999999999318</v>
      </c>
      <c r="K21" s="4">
        <v>304.60000000000673</v>
      </c>
      <c r="L21">
        <v>4842.6000000000058</v>
      </c>
    </row>
    <row r="22" spans="1:12" x14ac:dyDescent="0.2">
      <c r="A22" s="1">
        <v>43709</v>
      </c>
      <c r="B22">
        <v>281.19999999999982</v>
      </c>
      <c r="C22">
        <v>688.20000000000027</v>
      </c>
      <c r="D22">
        <v>20.699999999999932</v>
      </c>
      <c r="E22">
        <v>752.09999999999945</v>
      </c>
      <c r="F22">
        <v>1399.8999999999996</v>
      </c>
      <c r="G22">
        <v>610.50000000000045</v>
      </c>
      <c r="H22">
        <v>1050.3999999999996</v>
      </c>
      <c r="I22">
        <v>368.19999999999982</v>
      </c>
      <c r="J22">
        <v>13.699999999999989</v>
      </c>
      <c r="K22" s="4">
        <v>241.00000000000273</v>
      </c>
      <c r="L22">
        <v>5425.9000000000015</v>
      </c>
    </row>
    <row r="23" spans="1:12" x14ac:dyDescent="0.2">
      <c r="A23" s="1">
        <v>43739</v>
      </c>
      <c r="B23">
        <v>323.60000000000036</v>
      </c>
      <c r="C23">
        <v>298.19999999999891</v>
      </c>
      <c r="D23">
        <v>42.200000000000102</v>
      </c>
      <c r="E23">
        <v>698.40000000000055</v>
      </c>
      <c r="F23">
        <v>1427.5</v>
      </c>
      <c r="G23">
        <v>577.30000000000018</v>
      </c>
      <c r="H23">
        <v>1156.7000000000007</v>
      </c>
      <c r="I23">
        <v>403.40000000000009</v>
      </c>
      <c r="J23">
        <v>350.10000000000008</v>
      </c>
      <c r="K23" s="4">
        <v>380.29999999998108</v>
      </c>
      <c r="L23">
        <v>5657.6999999999825</v>
      </c>
    </row>
    <row r="24" spans="1:12" x14ac:dyDescent="0.2">
      <c r="A24" s="1">
        <v>43770</v>
      </c>
      <c r="B24">
        <v>323.99999999999955</v>
      </c>
      <c r="C24">
        <v>220.10000000000036</v>
      </c>
      <c r="D24">
        <v>23.899999999999864</v>
      </c>
      <c r="E24">
        <v>662</v>
      </c>
      <c r="F24">
        <v>1317.8999999999996</v>
      </c>
      <c r="G24">
        <v>620.19999999999982</v>
      </c>
      <c r="H24">
        <v>1144</v>
      </c>
      <c r="I24">
        <v>391.10000000000036</v>
      </c>
      <c r="J24">
        <v>717.40000000000009</v>
      </c>
      <c r="K24" s="4">
        <v>276.30000000002292</v>
      </c>
      <c r="L24">
        <v>5696.9000000000233</v>
      </c>
    </row>
    <row r="25" spans="1:12" x14ac:dyDescent="0.2">
      <c r="A25" s="1">
        <v>43800</v>
      </c>
      <c r="B25">
        <v>413.90000000000009</v>
      </c>
      <c r="C25">
        <v>833.89999999999964</v>
      </c>
      <c r="D25">
        <v>40.600000000000023</v>
      </c>
      <c r="E25">
        <v>678.80000000000018</v>
      </c>
      <c r="F25">
        <v>1480.3999999999996</v>
      </c>
      <c r="G25">
        <v>709.40000000000055</v>
      </c>
      <c r="H25">
        <v>1362.2000000000007</v>
      </c>
      <c r="I25">
        <v>475.59999999999945</v>
      </c>
      <c r="J25">
        <v>43.499999999999773</v>
      </c>
      <c r="K25" s="4">
        <v>268.29999999999109</v>
      </c>
      <c r="L25">
        <v>6306.5999999999913</v>
      </c>
    </row>
    <row r="26" spans="1:12" x14ac:dyDescent="0.2">
      <c r="A26" s="1">
        <v>43831</v>
      </c>
      <c r="B26">
        <v>321.5</v>
      </c>
      <c r="C26">
        <v>296.7</v>
      </c>
      <c r="D26">
        <v>10.3</v>
      </c>
      <c r="E26">
        <v>793.8</v>
      </c>
      <c r="F26">
        <v>965.6</v>
      </c>
      <c r="G26">
        <v>367.50000000000006</v>
      </c>
      <c r="H26">
        <v>1140.0999999999999</v>
      </c>
      <c r="I26">
        <v>428.9</v>
      </c>
      <c r="J26">
        <v>1.7</v>
      </c>
      <c r="K26" s="4">
        <v>393.00000000000091</v>
      </c>
      <c r="L26">
        <v>4719.1000000000004</v>
      </c>
    </row>
    <row r="27" spans="1:12" x14ac:dyDescent="0.2">
      <c r="A27" s="1">
        <v>43862</v>
      </c>
      <c r="B27">
        <v>325.60000000000002</v>
      </c>
      <c r="C27">
        <v>235.09999999999997</v>
      </c>
      <c r="D27">
        <v>9.8000000000000007</v>
      </c>
      <c r="E27">
        <v>637.20000000000005</v>
      </c>
      <c r="F27">
        <v>1301.0999999999999</v>
      </c>
      <c r="G27">
        <v>469.69999999999987</v>
      </c>
      <c r="H27">
        <v>1154.5999999999999</v>
      </c>
      <c r="I27">
        <v>413.30000000000007</v>
      </c>
      <c r="J27">
        <v>29.400000000000002</v>
      </c>
      <c r="K27" s="4">
        <v>272.99999999999909</v>
      </c>
      <c r="L27">
        <v>4848.7999999999993</v>
      </c>
    </row>
    <row r="28" spans="1:12" x14ac:dyDescent="0.2">
      <c r="A28" s="1">
        <v>43891</v>
      </c>
      <c r="B28">
        <v>339.79999999999995</v>
      </c>
      <c r="C28">
        <v>1021.3000000000002</v>
      </c>
      <c r="D28">
        <v>5.8999999999999986</v>
      </c>
      <c r="E28">
        <v>488.20000000000005</v>
      </c>
      <c r="F28">
        <v>1373</v>
      </c>
      <c r="G28">
        <v>563.20000000000039</v>
      </c>
      <c r="H28">
        <v>1118.6000000000004</v>
      </c>
      <c r="I28">
        <v>403.70000000000005</v>
      </c>
      <c r="J28">
        <v>27.099999999999994</v>
      </c>
      <c r="K28" s="4">
        <v>120.89999999999782</v>
      </c>
      <c r="L28">
        <v>5461.6999999999989</v>
      </c>
    </row>
    <row r="29" spans="1:12" x14ac:dyDescent="0.2">
      <c r="A29" s="1">
        <v>43922</v>
      </c>
      <c r="B29">
        <v>302.69999999999993</v>
      </c>
      <c r="C29">
        <v>219.49999999999977</v>
      </c>
      <c r="D29">
        <v>2.9000000000000021</v>
      </c>
      <c r="E29">
        <v>429.19999999999959</v>
      </c>
      <c r="F29">
        <v>863.80000000000018</v>
      </c>
      <c r="G29">
        <v>354.39999999999986</v>
      </c>
      <c r="H29">
        <v>1040.0999999999995</v>
      </c>
      <c r="I29">
        <v>368.5</v>
      </c>
      <c r="J29">
        <v>5</v>
      </c>
      <c r="K29" s="4">
        <v>256.50000000000364</v>
      </c>
      <c r="L29">
        <v>3842.6000000000022</v>
      </c>
    </row>
    <row r="30" spans="1:12" x14ac:dyDescent="0.2">
      <c r="A30" s="1">
        <v>43952</v>
      </c>
      <c r="B30">
        <v>362.30000000000018</v>
      </c>
      <c r="C30">
        <v>164.29999999999995</v>
      </c>
      <c r="D30">
        <v>23.3</v>
      </c>
      <c r="E30">
        <v>491.00000000000045</v>
      </c>
      <c r="F30">
        <v>955.60000000000036</v>
      </c>
      <c r="G30">
        <v>479.09999999999991</v>
      </c>
      <c r="H30">
        <v>1047.2000000000007</v>
      </c>
      <c r="I30">
        <v>362.5</v>
      </c>
      <c r="J30">
        <v>31.1</v>
      </c>
      <c r="K30" s="4">
        <v>463.70000000000073</v>
      </c>
      <c r="L30">
        <v>4380.1000000000022</v>
      </c>
    </row>
    <row r="31" spans="1:12" x14ac:dyDescent="0.2">
      <c r="A31" s="1">
        <v>43983</v>
      </c>
      <c r="B31">
        <v>375</v>
      </c>
      <c r="C31">
        <v>708.49999999999977</v>
      </c>
      <c r="D31">
        <v>289.40000000000003</v>
      </c>
      <c r="E31">
        <v>638.99999999999955</v>
      </c>
      <c r="F31">
        <v>1164.0999999999995</v>
      </c>
      <c r="G31">
        <v>512.90000000000009</v>
      </c>
      <c r="H31">
        <v>1256.1999999999998</v>
      </c>
      <c r="I31">
        <v>413.59999999999991</v>
      </c>
      <c r="J31">
        <v>18.799999999999997</v>
      </c>
      <c r="K31" s="4">
        <v>407.89999999999873</v>
      </c>
      <c r="L31">
        <v>5785.3999999999978</v>
      </c>
    </row>
    <row r="32" spans="1:12" x14ac:dyDescent="0.2">
      <c r="A32" s="1">
        <v>44013</v>
      </c>
      <c r="B32">
        <v>329.99999999999955</v>
      </c>
      <c r="C32">
        <v>260.70000000000027</v>
      </c>
      <c r="D32">
        <v>38.5</v>
      </c>
      <c r="E32">
        <v>651.20000000000073</v>
      </c>
      <c r="F32">
        <v>1283.8000000000002</v>
      </c>
      <c r="G32">
        <v>577.99999999999955</v>
      </c>
      <c r="H32">
        <v>1197.1999999999998</v>
      </c>
      <c r="I32">
        <v>404.19999999999982</v>
      </c>
      <c r="J32">
        <v>8.7999999999999972</v>
      </c>
      <c r="K32" s="4">
        <v>269.50000000000546</v>
      </c>
      <c r="L32">
        <v>5021.9000000000051</v>
      </c>
    </row>
    <row r="33" spans="1:12" x14ac:dyDescent="0.2">
      <c r="A33" s="1">
        <v>44044</v>
      </c>
      <c r="B33">
        <v>275.50000000000045</v>
      </c>
      <c r="C33">
        <v>173.59999999999991</v>
      </c>
      <c r="D33">
        <v>13.999999999999943</v>
      </c>
      <c r="E33">
        <v>691.69999999999982</v>
      </c>
      <c r="F33">
        <v>1270.3999999999996</v>
      </c>
      <c r="G33">
        <v>634.5</v>
      </c>
      <c r="H33">
        <v>1047.7999999999993</v>
      </c>
      <c r="I33">
        <v>356.5</v>
      </c>
      <c r="J33">
        <v>202.60000000000002</v>
      </c>
      <c r="K33" s="4">
        <v>269.39999999999327</v>
      </c>
      <c r="L33">
        <v>4935.9999999999927</v>
      </c>
    </row>
    <row r="34" spans="1:12" x14ac:dyDescent="0.2">
      <c r="A34" s="1">
        <v>44075</v>
      </c>
      <c r="B34">
        <v>322.09999999999991</v>
      </c>
      <c r="C34">
        <v>647.20000000000027</v>
      </c>
      <c r="D34">
        <v>68.000000000000057</v>
      </c>
      <c r="E34">
        <v>766.80000000000018</v>
      </c>
      <c r="F34">
        <v>1400.8999999999996</v>
      </c>
      <c r="G34">
        <v>608.00000000000045</v>
      </c>
      <c r="H34">
        <v>1165.6000000000004</v>
      </c>
      <c r="I34">
        <v>399.40000000000009</v>
      </c>
      <c r="J34">
        <v>19.300000000000011</v>
      </c>
      <c r="K34" s="4">
        <v>242.39999999999691</v>
      </c>
      <c r="L34">
        <v>5639.6999999999971</v>
      </c>
    </row>
    <row r="35" spans="1:12" x14ac:dyDescent="0.2">
      <c r="A35" s="1">
        <v>44105</v>
      </c>
      <c r="B35">
        <v>344.89999999999964</v>
      </c>
      <c r="C35">
        <v>277.70000000000027</v>
      </c>
      <c r="D35">
        <v>40.199999999999932</v>
      </c>
      <c r="E35">
        <v>731.59999999999945</v>
      </c>
      <c r="F35">
        <v>1368.4000000000015</v>
      </c>
      <c r="G35">
        <v>550</v>
      </c>
      <c r="H35">
        <v>1245.8999999999996</v>
      </c>
      <c r="I35">
        <v>421.09999999999991</v>
      </c>
      <c r="J35">
        <v>104.69999999999999</v>
      </c>
      <c r="K35" s="4">
        <v>376.39999999999327</v>
      </c>
      <c r="L35">
        <v>5460.8999999999942</v>
      </c>
    </row>
    <row r="36" spans="1:12" x14ac:dyDescent="0.2">
      <c r="A36" s="1">
        <v>44136</v>
      </c>
      <c r="B36">
        <v>363.30000000000018</v>
      </c>
      <c r="C36">
        <v>219.39999999999964</v>
      </c>
      <c r="D36">
        <v>28</v>
      </c>
      <c r="E36">
        <v>727</v>
      </c>
      <c r="F36">
        <v>1376</v>
      </c>
      <c r="G36">
        <v>659.89999999999964</v>
      </c>
      <c r="H36">
        <v>1257.6000000000004</v>
      </c>
      <c r="I36">
        <v>428.19999999999982</v>
      </c>
      <c r="J36">
        <v>41.300000000000011</v>
      </c>
      <c r="K36" s="4">
        <v>335.80000000000746</v>
      </c>
      <c r="L36">
        <v>5436.5000000000073</v>
      </c>
    </row>
    <row r="37" spans="1:12" x14ac:dyDescent="0.2">
      <c r="A37" s="1">
        <v>44166</v>
      </c>
      <c r="B37">
        <v>502.90000000000055</v>
      </c>
      <c r="C37">
        <v>899</v>
      </c>
      <c r="D37">
        <v>52.100000000000023</v>
      </c>
      <c r="E37">
        <v>766.60000000000036</v>
      </c>
      <c r="F37">
        <v>1591.5</v>
      </c>
      <c r="G37">
        <v>691.60000000000127</v>
      </c>
      <c r="H37">
        <v>1624.5</v>
      </c>
      <c r="I37">
        <v>539.60000000000036</v>
      </c>
      <c r="J37">
        <v>159.7999999999999</v>
      </c>
      <c r="K37" s="4">
        <v>289.69999999998527</v>
      </c>
      <c r="L37">
        <v>7117.2999999999884</v>
      </c>
    </row>
    <row r="38" spans="1:12" x14ac:dyDescent="0.2">
      <c r="A38" s="1">
        <v>44197</v>
      </c>
      <c r="B38">
        <v>337.6</v>
      </c>
      <c r="C38">
        <v>256.10000000000002</v>
      </c>
      <c r="D38">
        <v>11.7</v>
      </c>
      <c r="E38">
        <v>889.90000000000009</v>
      </c>
      <c r="F38">
        <v>990.8</v>
      </c>
      <c r="G38">
        <v>481.69999999999993</v>
      </c>
      <c r="H38">
        <v>1096.5999999999999</v>
      </c>
      <c r="I38">
        <v>416.3</v>
      </c>
      <c r="J38">
        <v>186</v>
      </c>
      <c r="K38" s="4">
        <v>413.39999999999873</v>
      </c>
      <c r="L38">
        <v>5080.0999999999985</v>
      </c>
    </row>
    <row r="39" spans="1:12" x14ac:dyDescent="0.2">
      <c r="A39" s="1">
        <v>44228</v>
      </c>
      <c r="B39">
        <v>364.80000000000007</v>
      </c>
      <c r="C39">
        <v>236</v>
      </c>
      <c r="D39">
        <v>13.2</v>
      </c>
      <c r="E39">
        <v>643.59999999999991</v>
      </c>
      <c r="F39">
        <v>1363.6000000000001</v>
      </c>
      <c r="G39">
        <v>506.00000000000023</v>
      </c>
      <c r="H39">
        <v>1242.2000000000003</v>
      </c>
      <c r="I39">
        <v>443.59999999999997</v>
      </c>
      <c r="J39">
        <v>30.699999999999989</v>
      </c>
      <c r="K39" s="4">
        <v>218.70000000000164</v>
      </c>
      <c r="L39">
        <v>5062.4000000000015</v>
      </c>
    </row>
    <row r="40" spans="1:12" x14ac:dyDescent="0.2">
      <c r="A40" s="1">
        <v>44256</v>
      </c>
      <c r="B40">
        <v>425</v>
      </c>
      <c r="C40">
        <v>1333.4</v>
      </c>
      <c r="D40">
        <v>12.399999999999999</v>
      </c>
      <c r="E40">
        <v>560.40000000000009</v>
      </c>
      <c r="F40">
        <v>1644.9</v>
      </c>
      <c r="G40">
        <v>508.29999999999984</v>
      </c>
      <c r="H40">
        <v>1280</v>
      </c>
      <c r="I40">
        <v>471.19999999999993</v>
      </c>
      <c r="J40">
        <v>15.200000000000017</v>
      </c>
      <c r="K40" s="4">
        <v>305.49999999999545</v>
      </c>
      <c r="L40">
        <v>6556.2999999999956</v>
      </c>
    </row>
    <row r="41" spans="1:12" x14ac:dyDescent="0.2">
      <c r="A41" s="1">
        <v>44287</v>
      </c>
      <c r="B41">
        <v>532.20000000000005</v>
      </c>
      <c r="C41">
        <v>348</v>
      </c>
      <c r="D41">
        <v>11.900000000000006</v>
      </c>
      <c r="E41">
        <v>631.59999999999991</v>
      </c>
      <c r="F41">
        <v>1566.6999999999998</v>
      </c>
      <c r="G41">
        <v>539.5</v>
      </c>
      <c r="H41">
        <v>1314.8000000000002</v>
      </c>
      <c r="I41">
        <v>449.5</v>
      </c>
      <c r="J41">
        <v>7.5</v>
      </c>
      <c r="K41" s="4">
        <v>430.60000000000673</v>
      </c>
      <c r="L41">
        <v>5832.3000000000065</v>
      </c>
    </row>
    <row r="42" spans="1:12" x14ac:dyDescent="0.2">
      <c r="A42" s="1">
        <v>44317</v>
      </c>
      <c r="B42">
        <v>418.09999999999968</v>
      </c>
      <c r="C42">
        <v>215.40000000000009</v>
      </c>
      <c r="D42">
        <v>65.5</v>
      </c>
      <c r="E42">
        <v>627.29999999999973</v>
      </c>
      <c r="F42">
        <v>1473.8999999999996</v>
      </c>
      <c r="G42">
        <v>603.40000000000009</v>
      </c>
      <c r="H42">
        <v>1287.0999999999995</v>
      </c>
      <c r="I42">
        <v>434.30000000000018</v>
      </c>
      <c r="J42">
        <v>13.800000000000011</v>
      </c>
      <c r="K42" s="4">
        <v>412.49999999999636</v>
      </c>
      <c r="L42">
        <v>5551.2999999999956</v>
      </c>
    </row>
    <row r="43" spans="1:12" x14ac:dyDescent="0.2">
      <c r="A43" s="1">
        <v>44348</v>
      </c>
      <c r="B43">
        <v>473.5</v>
      </c>
      <c r="C43">
        <v>646</v>
      </c>
      <c r="D43">
        <v>226.40000000000003</v>
      </c>
      <c r="E43">
        <v>684.90000000000009</v>
      </c>
      <c r="F43">
        <v>1630.8000000000011</v>
      </c>
      <c r="G43">
        <v>621.90000000000009</v>
      </c>
      <c r="H43">
        <v>1524.5</v>
      </c>
      <c r="I43">
        <v>511.5</v>
      </c>
      <c r="J43">
        <v>29.299999999999983</v>
      </c>
      <c r="K43" s="4">
        <v>502.09999999999582</v>
      </c>
      <c r="L43">
        <v>6850.8999999999978</v>
      </c>
    </row>
    <row r="44" spans="1:12" x14ac:dyDescent="0.2">
      <c r="A44" s="1">
        <v>44378</v>
      </c>
      <c r="B44">
        <v>410.30000000000018</v>
      </c>
      <c r="C44">
        <v>273.59999999999991</v>
      </c>
      <c r="D44">
        <v>53.5</v>
      </c>
      <c r="E44">
        <v>744.90000000000055</v>
      </c>
      <c r="F44">
        <v>1591.0999999999985</v>
      </c>
      <c r="G44">
        <v>624.29999999999973</v>
      </c>
      <c r="H44">
        <v>1380.8</v>
      </c>
      <c r="I44">
        <v>472.09999999999991</v>
      </c>
      <c r="J44">
        <v>13.699999999999989</v>
      </c>
      <c r="K44" s="4">
        <v>527.30000000000746</v>
      </c>
      <c r="L44">
        <v>6091.6000000000058</v>
      </c>
    </row>
    <row r="45" spans="1:12" x14ac:dyDescent="0.2">
      <c r="A45" s="1">
        <v>44409</v>
      </c>
      <c r="B45">
        <v>382.20000000000027</v>
      </c>
      <c r="C45">
        <v>223.19999999999982</v>
      </c>
      <c r="D45">
        <v>37.599999999999966</v>
      </c>
      <c r="E45">
        <v>847.89999999999964</v>
      </c>
      <c r="F45">
        <v>1700.6000000000004</v>
      </c>
      <c r="G45">
        <v>731.59999999999991</v>
      </c>
      <c r="H45">
        <v>1265.7999999999993</v>
      </c>
      <c r="I45">
        <v>426.5</v>
      </c>
      <c r="J45">
        <v>4.6000000000000227</v>
      </c>
      <c r="K45" s="4">
        <v>307.19999999998981</v>
      </c>
      <c r="L45">
        <v>5927.1999999999898</v>
      </c>
    </row>
    <row r="46" spans="1:12" x14ac:dyDescent="0.2">
      <c r="A46" s="1">
        <v>44440</v>
      </c>
      <c r="B46">
        <v>384.99999999999955</v>
      </c>
      <c r="C46">
        <v>740.80000000000018</v>
      </c>
      <c r="D46">
        <v>213.7</v>
      </c>
      <c r="E46">
        <v>901.5</v>
      </c>
      <c r="F46">
        <v>1914.3000000000011</v>
      </c>
      <c r="G46">
        <v>766.20000000000073</v>
      </c>
      <c r="H46">
        <v>1343.7000000000007</v>
      </c>
      <c r="I46">
        <v>455.59999999999991</v>
      </c>
      <c r="J46">
        <v>14.199999999999989</v>
      </c>
      <c r="K46" s="4">
        <v>389.70000000002346</v>
      </c>
      <c r="L46">
        <v>7124.7000000000262</v>
      </c>
    </row>
    <row r="47" spans="1:12" x14ac:dyDescent="0.2">
      <c r="A47" s="1">
        <v>44470</v>
      </c>
      <c r="B47">
        <v>414.30000000000018</v>
      </c>
      <c r="C47">
        <v>347</v>
      </c>
      <c r="D47">
        <v>38.300000000000068</v>
      </c>
      <c r="E47">
        <v>784.89999999999964</v>
      </c>
      <c r="F47">
        <v>1796.8999999999996</v>
      </c>
      <c r="G47">
        <v>720.39999999999964</v>
      </c>
      <c r="H47">
        <v>1353.6000000000004</v>
      </c>
      <c r="I47">
        <v>468.00000000000045</v>
      </c>
      <c r="J47">
        <v>809.3</v>
      </c>
      <c r="K47" s="4">
        <v>835.29999999999291</v>
      </c>
      <c r="L47">
        <v>7567.9999999999927</v>
      </c>
    </row>
    <row r="48" spans="1:12" x14ac:dyDescent="0.2">
      <c r="A48" s="1">
        <v>44501</v>
      </c>
      <c r="B48">
        <v>417.29999999999927</v>
      </c>
      <c r="C48">
        <v>302.19999999999982</v>
      </c>
      <c r="D48">
        <v>19.199999999999932</v>
      </c>
      <c r="E48">
        <v>803.10000000000036</v>
      </c>
      <c r="F48">
        <v>1876.8000000000011</v>
      </c>
      <c r="G48">
        <v>641.60000000000036</v>
      </c>
      <c r="H48">
        <v>1391.1999999999989</v>
      </c>
      <c r="I48">
        <v>470</v>
      </c>
      <c r="J48">
        <v>30.700000000000273</v>
      </c>
      <c r="K48" s="4">
        <v>351.59999999998945</v>
      </c>
      <c r="L48">
        <v>6303.6999999999898</v>
      </c>
    </row>
    <row r="49" spans="1:12" x14ac:dyDescent="0.2">
      <c r="A49" s="1">
        <v>44531</v>
      </c>
      <c r="B49">
        <v>573.50000000000091</v>
      </c>
      <c r="C49">
        <v>1087.6000000000004</v>
      </c>
      <c r="D49">
        <v>46.799999999999955</v>
      </c>
      <c r="E49">
        <v>798.39999999999964</v>
      </c>
      <c r="F49">
        <v>2064.1999999999971</v>
      </c>
      <c r="G49">
        <v>863.39999999999964</v>
      </c>
      <c r="H49">
        <v>1743.5</v>
      </c>
      <c r="I49">
        <v>596.59999999999945</v>
      </c>
      <c r="J49">
        <v>1292.3999999999999</v>
      </c>
      <c r="K49" s="4">
        <v>358.10000000000218</v>
      </c>
      <c r="L49">
        <v>9424.5</v>
      </c>
    </row>
    <row r="50" spans="1:12" x14ac:dyDescent="0.2">
      <c r="A50" s="19">
        <v>44562</v>
      </c>
      <c r="B50" s="20">
        <v>400.6</v>
      </c>
      <c r="C50" s="20">
        <v>341.09999999999997</v>
      </c>
      <c r="D50" s="20">
        <v>10.200000000000001</v>
      </c>
      <c r="E50" s="20">
        <v>933.5</v>
      </c>
      <c r="F50" s="20">
        <v>1314.7</v>
      </c>
      <c r="G50" s="20">
        <v>602.50000000000011</v>
      </c>
      <c r="H50" s="20">
        <v>1311.6</v>
      </c>
      <c r="I50" s="20">
        <v>480.5</v>
      </c>
      <c r="J50" s="20">
        <v>4.5</v>
      </c>
      <c r="K50" s="21">
        <v>471.69999999999891</v>
      </c>
      <c r="L50" s="20">
        <v>5870.9</v>
      </c>
    </row>
    <row r="51" spans="1:12" x14ac:dyDescent="0.2">
      <c r="A51" s="1">
        <v>44593</v>
      </c>
      <c r="B51">
        <v>391.30000000000007</v>
      </c>
      <c r="C51">
        <v>321.60000000000008</v>
      </c>
      <c r="D51">
        <v>8.6</v>
      </c>
      <c r="E51">
        <v>633.69999999999982</v>
      </c>
      <c r="F51">
        <v>1951.4999999999998</v>
      </c>
      <c r="G51">
        <v>516.6999999999997</v>
      </c>
      <c r="H51">
        <v>1352.2000000000003</v>
      </c>
      <c r="I51">
        <v>478.20000000000005</v>
      </c>
      <c r="J51">
        <v>24.6</v>
      </c>
      <c r="K51" s="4">
        <v>317.79999999999836</v>
      </c>
      <c r="L51">
        <v>5996.1999999999989</v>
      </c>
    </row>
    <row r="52" spans="1:12" x14ac:dyDescent="0.2">
      <c r="A52" s="1">
        <v>44621</v>
      </c>
      <c r="B52">
        <v>495.79999999999995</v>
      </c>
      <c r="C52">
        <v>2301.3999999999996</v>
      </c>
      <c r="D52">
        <v>12.3</v>
      </c>
      <c r="E52">
        <v>646.70000000000027</v>
      </c>
      <c r="F52">
        <v>1869.4000000000005</v>
      </c>
      <c r="G52">
        <v>502.59999999999991</v>
      </c>
      <c r="H52">
        <v>1428</v>
      </c>
      <c r="I52">
        <v>515.70000000000005</v>
      </c>
      <c r="J52">
        <v>65.400000000000006</v>
      </c>
      <c r="K52" s="4">
        <v>371.50000000000273</v>
      </c>
      <c r="L52">
        <v>8208.8000000000029</v>
      </c>
    </row>
    <row r="53" spans="1:12" x14ac:dyDescent="0.2">
      <c r="A53" s="1">
        <v>44652</v>
      </c>
      <c r="B53">
        <v>583.79999999999995</v>
      </c>
      <c r="C53">
        <v>582.59999999999991</v>
      </c>
      <c r="D53">
        <v>16.899999999999999</v>
      </c>
      <c r="E53">
        <v>808.30000000000018</v>
      </c>
      <c r="F53">
        <v>2088.6999999999998</v>
      </c>
      <c r="G53">
        <v>488.40000000000009</v>
      </c>
      <c r="H53">
        <v>1509.8999999999996</v>
      </c>
      <c r="I53">
        <v>492.39999999999986</v>
      </c>
      <c r="J53">
        <v>79.199999999999989</v>
      </c>
      <c r="K53" s="4">
        <v>360.00000000000455</v>
      </c>
      <c r="L53">
        <v>7010.2000000000044</v>
      </c>
    </row>
    <row r="54" spans="1:12" x14ac:dyDescent="0.2">
      <c r="A54" s="1">
        <v>44682</v>
      </c>
      <c r="B54">
        <v>546.5</v>
      </c>
      <c r="C54">
        <v>384.90000000000055</v>
      </c>
      <c r="D54">
        <v>67</v>
      </c>
      <c r="E54">
        <v>720.39999999999964</v>
      </c>
      <c r="F54">
        <v>1974.4999999999991</v>
      </c>
      <c r="G54">
        <v>619.10000000000036</v>
      </c>
      <c r="H54">
        <v>1489.5</v>
      </c>
      <c r="I54">
        <v>511.10000000000014</v>
      </c>
      <c r="J54">
        <v>13.100000000000023</v>
      </c>
      <c r="K54" s="4">
        <v>147.49999999999818</v>
      </c>
      <c r="L54">
        <v>6473.5999999999985</v>
      </c>
    </row>
    <row r="55" spans="1:12" x14ac:dyDescent="0.2">
      <c r="A55" s="1">
        <v>44713</v>
      </c>
      <c r="B55">
        <v>539.09999999999991</v>
      </c>
      <c r="C55">
        <v>913.5</v>
      </c>
      <c r="D55">
        <v>222</v>
      </c>
      <c r="E55">
        <v>759.99999999999955</v>
      </c>
      <c r="F55">
        <v>2016.9000000000015</v>
      </c>
      <c r="G55">
        <v>789.99999999999955</v>
      </c>
      <c r="H55">
        <v>1735.8000000000002</v>
      </c>
      <c r="I55">
        <v>579.59999999999991</v>
      </c>
      <c r="J55">
        <v>50.199999999999989</v>
      </c>
      <c r="K55" s="4">
        <v>536.49999999999181</v>
      </c>
      <c r="L55">
        <v>8143.5999999999913</v>
      </c>
    </row>
    <row r="56" spans="1:12" x14ac:dyDescent="0.2">
      <c r="A56" s="1">
        <v>44743</v>
      </c>
      <c r="B56">
        <v>484.90000000000009</v>
      </c>
      <c r="C56">
        <v>359.79999999999927</v>
      </c>
      <c r="D56">
        <v>48.699999999999989</v>
      </c>
      <c r="E56">
        <v>809.70000000000073</v>
      </c>
      <c r="F56">
        <v>1961.1999999999989</v>
      </c>
      <c r="G56">
        <v>673.00000000000045</v>
      </c>
      <c r="H56">
        <v>1572.2000000000007</v>
      </c>
      <c r="I56">
        <v>542.5</v>
      </c>
      <c r="J56">
        <v>19.600000000000023</v>
      </c>
      <c r="K56" s="4">
        <v>554.60000000001855</v>
      </c>
      <c r="L56">
        <v>7026.2000000000189</v>
      </c>
    </row>
    <row r="57" spans="1:12" x14ac:dyDescent="0.2">
      <c r="A57" s="1">
        <v>44774</v>
      </c>
      <c r="B57">
        <v>437.80000000000018</v>
      </c>
      <c r="C57">
        <v>341.5</v>
      </c>
      <c r="D57">
        <v>38.600000000000023</v>
      </c>
      <c r="E57">
        <v>844.39999999999964</v>
      </c>
      <c r="F57">
        <v>2126.6000000000004</v>
      </c>
      <c r="G57">
        <v>788.59999999999945</v>
      </c>
      <c r="H57">
        <v>1469.6999999999989</v>
      </c>
      <c r="I57">
        <v>489.80000000000018</v>
      </c>
      <c r="J57">
        <v>2018</v>
      </c>
      <c r="K57" s="4">
        <v>285.09999999996944</v>
      </c>
      <c r="L57">
        <v>8840.0999999999694</v>
      </c>
    </row>
    <row r="58" spans="1:12" x14ac:dyDescent="0.2">
      <c r="A58" s="1">
        <v>44805</v>
      </c>
      <c r="B58">
        <v>443</v>
      </c>
      <c r="C58">
        <v>977.10000000000036</v>
      </c>
      <c r="D58">
        <v>190.39999999999992</v>
      </c>
      <c r="E58">
        <v>903.60000000000036</v>
      </c>
      <c r="F58">
        <v>2211.5999999999985</v>
      </c>
      <c r="G58">
        <v>762</v>
      </c>
      <c r="H58">
        <v>1483.3000000000011</v>
      </c>
      <c r="I58">
        <v>505.09999999999945</v>
      </c>
      <c r="J58">
        <v>68.399999999999636</v>
      </c>
      <c r="K58" s="4">
        <v>454.40000000001692</v>
      </c>
      <c r="L58">
        <v>7998.900000000016</v>
      </c>
    </row>
    <row r="59" spans="1:12" x14ac:dyDescent="0.2">
      <c r="A59" s="1">
        <v>44835</v>
      </c>
      <c r="B59">
        <v>473.30000000000018</v>
      </c>
      <c r="C59">
        <v>410.09999999999945</v>
      </c>
      <c r="D59">
        <v>30.700000000000045</v>
      </c>
      <c r="E59">
        <v>844.19999999999982</v>
      </c>
      <c r="F59">
        <v>2092.7000000000007</v>
      </c>
      <c r="G59">
        <v>713.39999999999964</v>
      </c>
      <c r="H59">
        <v>1573.5</v>
      </c>
      <c r="I59">
        <v>529</v>
      </c>
      <c r="J59">
        <v>322.20000000000027</v>
      </c>
      <c r="K59" s="4">
        <v>590.30000000000837</v>
      </c>
      <c r="L59">
        <v>7579.4000000000087</v>
      </c>
    </row>
    <row r="60" spans="1:12" x14ac:dyDescent="0.2">
      <c r="A60" s="1">
        <v>44866</v>
      </c>
      <c r="B60">
        <v>515.19999999999982</v>
      </c>
      <c r="C60">
        <v>360.20000000000073</v>
      </c>
      <c r="D60">
        <v>39.899999999999977</v>
      </c>
      <c r="E60">
        <v>782.29999999999927</v>
      </c>
      <c r="F60">
        <v>2043.5</v>
      </c>
      <c r="G60">
        <v>737.10000000000127</v>
      </c>
      <c r="H60">
        <v>1642.5999999999985</v>
      </c>
      <c r="I60">
        <v>551.80000000000018</v>
      </c>
      <c r="J60">
        <v>912</v>
      </c>
      <c r="K60" s="4">
        <v>364.79999999998017</v>
      </c>
      <c r="L60">
        <v>7949.3999999999796</v>
      </c>
    </row>
    <row r="61" spans="1:12" x14ac:dyDescent="0.2">
      <c r="A61" s="1">
        <v>44896</v>
      </c>
      <c r="B61">
        <v>685.99999999999909</v>
      </c>
      <c r="C61">
        <v>1434.7999999999984</v>
      </c>
      <c r="D61">
        <v>70</v>
      </c>
      <c r="E61">
        <v>845.30000000000109</v>
      </c>
      <c r="F61">
        <v>2407.2000000000007</v>
      </c>
      <c r="G61">
        <v>819.09999999999854</v>
      </c>
      <c r="H61">
        <v>2005.1000000000022</v>
      </c>
      <c r="I61">
        <v>674.10000000000036</v>
      </c>
      <c r="J61">
        <v>962.20000000000073</v>
      </c>
      <c r="K61" s="4">
        <v>504.30000000001928</v>
      </c>
      <c r="L61">
        <v>10408.10000000002</v>
      </c>
    </row>
    <row r="62" spans="1:12" x14ac:dyDescent="0.2">
      <c r="A62" s="19">
        <v>44927</v>
      </c>
      <c r="B62" s="20">
        <v>478.6</v>
      </c>
      <c r="C62" s="20">
        <v>435.4</v>
      </c>
      <c r="D62" s="20">
        <v>13.9</v>
      </c>
      <c r="E62" s="20">
        <v>1124.3</v>
      </c>
      <c r="F62" s="20">
        <v>2017</v>
      </c>
      <c r="G62" s="20">
        <v>626.79999999999995</v>
      </c>
      <c r="H62" s="20">
        <v>1503.1</v>
      </c>
      <c r="I62" s="20">
        <v>595.70000000000005</v>
      </c>
      <c r="J62" s="20">
        <v>13.2</v>
      </c>
      <c r="K62" s="21">
        <v>420.79999999999927</v>
      </c>
      <c r="L62" s="20">
        <v>7228.7999999999993</v>
      </c>
    </row>
    <row r="63" spans="1:12" x14ac:dyDescent="0.2">
      <c r="A63" s="1">
        <v>44958</v>
      </c>
      <c r="B63">
        <v>486.99999999999989</v>
      </c>
      <c r="C63">
        <v>382.79999999999995</v>
      </c>
      <c r="D63">
        <v>9.6</v>
      </c>
      <c r="E63">
        <v>780.2</v>
      </c>
      <c r="F63">
        <v>1786</v>
      </c>
      <c r="G63">
        <v>688.5</v>
      </c>
      <c r="H63">
        <v>1593.7000000000003</v>
      </c>
      <c r="I63">
        <v>562.70000000000005</v>
      </c>
      <c r="J63">
        <v>56.999999999999986</v>
      </c>
      <c r="K63" s="4">
        <v>428.00000000000091</v>
      </c>
      <c r="L63">
        <v>6775.5000000000018</v>
      </c>
    </row>
    <row r="64" spans="1:12" x14ac:dyDescent="0.2">
      <c r="A64" s="1">
        <v>44986</v>
      </c>
      <c r="B64">
        <v>626</v>
      </c>
      <c r="C64">
        <v>2616.2000000000003</v>
      </c>
      <c r="D64">
        <v>15.29999999999999</v>
      </c>
      <c r="E64">
        <v>787.70000000000027</v>
      </c>
      <c r="F64">
        <v>2212</v>
      </c>
      <c r="G64">
        <v>715.49999999999977</v>
      </c>
      <c r="H64">
        <v>1730.6999999999998</v>
      </c>
      <c r="I64">
        <v>635.39999999999986</v>
      </c>
      <c r="J64">
        <v>346.5</v>
      </c>
      <c r="K64" s="4">
        <v>278.59999999999854</v>
      </c>
      <c r="L64">
        <v>9963.9</v>
      </c>
    </row>
    <row r="65" spans="1:12" x14ac:dyDescent="0.2">
      <c r="A65" s="1">
        <v>45017</v>
      </c>
      <c r="B65">
        <v>662.5</v>
      </c>
      <c r="C65">
        <v>591</v>
      </c>
      <c r="D65">
        <v>12.900000000000006</v>
      </c>
      <c r="E65">
        <v>753.79999999999973</v>
      </c>
      <c r="F65">
        <v>1701.1999999999998</v>
      </c>
      <c r="G65">
        <v>679.80000000000018</v>
      </c>
      <c r="H65">
        <v>1715.3999999999996</v>
      </c>
      <c r="I65">
        <v>581.50000000000023</v>
      </c>
      <c r="J65">
        <v>279.80000000000013</v>
      </c>
      <c r="K65" s="4">
        <v>521.59999999999673</v>
      </c>
      <c r="L65">
        <v>7499.4999999999964</v>
      </c>
    </row>
    <row r="66" spans="1:12" x14ac:dyDescent="0.2">
      <c r="A66" s="1">
        <v>45047</v>
      </c>
      <c r="B66">
        <v>646.80000000000018</v>
      </c>
      <c r="C66">
        <v>440.00000000000045</v>
      </c>
      <c r="D66">
        <v>47.400000000000013</v>
      </c>
      <c r="E66">
        <v>837.80000000000018</v>
      </c>
      <c r="F66">
        <v>1819.3000000000002</v>
      </c>
      <c r="G66">
        <v>753.90000000000009</v>
      </c>
      <c r="H66">
        <v>1781.1000000000004</v>
      </c>
      <c r="I66">
        <v>614.39999999999964</v>
      </c>
      <c r="J66">
        <v>74.399999999999864</v>
      </c>
      <c r="K66" s="4">
        <v>383.89999999999964</v>
      </c>
      <c r="L66">
        <v>7399</v>
      </c>
    </row>
    <row r="67" spans="1:12" x14ac:dyDescent="0.2">
      <c r="A67" s="1">
        <v>45078</v>
      </c>
      <c r="B67">
        <v>621.69999999999982</v>
      </c>
      <c r="C67">
        <v>955.29999999999927</v>
      </c>
      <c r="D67">
        <v>237.39999999999998</v>
      </c>
      <c r="E67">
        <v>929.19999999999982</v>
      </c>
      <c r="F67">
        <v>1732.3999999999996</v>
      </c>
      <c r="G67">
        <v>745.89999999999964</v>
      </c>
      <c r="H67">
        <v>1969.7999999999993</v>
      </c>
      <c r="I67">
        <v>661.80000000000018</v>
      </c>
      <c r="J67">
        <v>61.200000000000045</v>
      </c>
      <c r="K67" s="4">
        <v>282.20000000000437</v>
      </c>
      <c r="L67">
        <v>8196.9000000000015</v>
      </c>
    </row>
    <row r="68" spans="1:12" x14ac:dyDescent="0.2">
      <c r="A68" s="1">
        <v>45108</v>
      </c>
      <c r="B68">
        <v>585.70000000000027</v>
      </c>
      <c r="C68">
        <v>391.19999999999982</v>
      </c>
      <c r="D68">
        <v>65.5</v>
      </c>
      <c r="E68">
        <v>976.80000000000018</v>
      </c>
      <c r="F68">
        <v>1781.3000000000011</v>
      </c>
      <c r="G68">
        <v>942.40000000000055</v>
      </c>
      <c r="H68">
        <v>1841.3000000000011</v>
      </c>
      <c r="I68">
        <v>630</v>
      </c>
      <c r="J68">
        <v>689.70000000000016</v>
      </c>
      <c r="K68" s="4">
        <v>653.20000000001801</v>
      </c>
      <c r="L68">
        <v>8557.1000000000204</v>
      </c>
    </row>
    <row r="69" spans="1:12" x14ac:dyDescent="0.2">
      <c r="A69" s="1">
        <v>45139</v>
      </c>
      <c r="B69">
        <v>560.69999999999982</v>
      </c>
      <c r="C69">
        <v>345.80000000000018</v>
      </c>
      <c r="D69">
        <v>43.200000000000045</v>
      </c>
      <c r="E69">
        <v>1039.3000000000002</v>
      </c>
      <c r="F69">
        <v>2042</v>
      </c>
      <c r="G69">
        <v>924.39999999999964</v>
      </c>
      <c r="H69">
        <v>1701.6000000000004</v>
      </c>
      <c r="I69">
        <v>583</v>
      </c>
      <c r="J69">
        <v>236.99999999999977</v>
      </c>
      <c r="K69" s="4">
        <v>538.59999999997672</v>
      </c>
      <c r="L69">
        <v>8015.5999999999767</v>
      </c>
    </row>
    <row r="70" spans="1:12" x14ac:dyDescent="0.2">
      <c r="A70" s="1">
        <v>45170</v>
      </c>
      <c r="B70">
        <v>534.69999999999982</v>
      </c>
      <c r="C70">
        <v>1020.2000000000007</v>
      </c>
      <c r="D70">
        <v>230.39999999999986</v>
      </c>
      <c r="E70">
        <v>1134.1000000000004</v>
      </c>
      <c r="F70">
        <v>1998.8999999999978</v>
      </c>
      <c r="G70">
        <v>946.80000000000018</v>
      </c>
      <c r="H70">
        <v>1720.5999999999985</v>
      </c>
      <c r="I70">
        <v>590</v>
      </c>
      <c r="J70">
        <v>1609.8</v>
      </c>
      <c r="K70" s="4">
        <v>452.60000000000218</v>
      </c>
      <c r="L70">
        <v>10238.099999999999</v>
      </c>
    </row>
    <row r="71" spans="1:12" x14ac:dyDescent="0.2">
      <c r="A71" s="1">
        <v>45200</v>
      </c>
      <c r="B71">
        <v>601.10000000000036</v>
      </c>
      <c r="C71">
        <v>405.59999999999945</v>
      </c>
      <c r="D71">
        <v>43.700000000000045</v>
      </c>
      <c r="E71">
        <v>1077.4999999999982</v>
      </c>
      <c r="F71">
        <v>2027.9000000000015</v>
      </c>
      <c r="G71">
        <v>972</v>
      </c>
      <c r="H71">
        <v>1810.7000000000007</v>
      </c>
      <c r="I71">
        <v>626.10000000000036</v>
      </c>
      <c r="J71">
        <v>473.80000000000018</v>
      </c>
      <c r="K71" s="4">
        <v>586.70000000000528</v>
      </c>
      <c r="L71">
        <v>8625.1000000000058</v>
      </c>
    </row>
    <row r="72" spans="1:12" x14ac:dyDescent="0.2">
      <c r="A72" s="1">
        <v>45231</v>
      </c>
      <c r="B72">
        <v>611.5</v>
      </c>
      <c r="C72">
        <v>403.19999999999982</v>
      </c>
      <c r="D72">
        <v>29.400000000000091</v>
      </c>
      <c r="E72">
        <v>1023.5</v>
      </c>
      <c r="F72">
        <v>1973.9000000000015</v>
      </c>
      <c r="G72">
        <v>998</v>
      </c>
      <c r="H72">
        <v>1866</v>
      </c>
      <c r="I72">
        <v>634.39999999999964</v>
      </c>
      <c r="J72">
        <v>43.900000000000091</v>
      </c>
      <c r="K72" s="4">
        <v>430.899999999996</v>
      </c>
      <c r="L72">
        <v>8014.6999999999971</v>
      </c>
    </row>
    <row r="73" spans="1:12" x14ac:dyDescent="0.2">
      <c r="A73" s="1">
        <v>45261</v>
      </c>
      <c r="B73">
        <v>816.49999999999909</v>
      </c>
      <c r="C73">
        <v>1435.0000000000009</v>
      </c>
      <c r="D73">
        <v>44.799999999999955</v>
      </c>
      <c r="E73">
        <v>1162.3999999999996</v>
      </c>
      <c r="F73">
        <v>2256.5</v>
      </c>
      <c r="G73">
        <v>1144.1000000000004</v>
      </c>
      <c r="H73">
        <v>2290.2000000000007</v>
      </c>
      <c r="I73">
        <v>783.19999999999982</v>
      </c>
      <c r="J73">
        <v>1460.6999999999998</v>
      </c>
      <c r="K73" s="4">
        <v>391.59999999999854</v>
      </c>
      <c r="L73">
        <v>11785</v>
      </c>
    </row>
    <row r="74" spans="1:12" x14ac:dyDescent="0.2">
      <c r="A74" s="19">
        <v>45292</v>
      </c>
      <c r="B74" s="20">
        <v>598.29999999999995</v>
      </c>
      <c r="C74" s="20">
        <v>432.70000000000005</v>
      </c>
      <c r="D74" s="20">
        <v>10.7</v>
      </c>
      <c r="E74" s="20">
        <v>1304.0999999999999</v>
      </c>
      <c r="F74" s="20">
        <v>1559.1</v>
      </c>
      <c r="G74" s="20">
        <v>814.7</v>
      </c>
      <c r="H74" s="20">
        <v>1790.6</v>
      </c>
      <c r="I74" s="20">
        <v>655.4</v>
      </c>
      <c r="J74" s="20">
        <v>39.300000000000004</v>
      </c>
      <c r="K74" s="21">
        <v>392.90000000000055</v>
      </c>
      <c r="L74" s="20">
        <v>7597.8000000000011</v>
      </c>
    </row>
    <row r="75" spans="1:12" x14ac:dyDescent="0.2">
      <c r="A75" s="1">
        <v>45323</v>
      </c>
      <c r="B75">
        <v>625.89999999999986</v>
      </c>
      <c r="C75">
        <v>407.59999999999991</v>
      </c>
      <c r="D75">
        <v>10.7</v>
      </c>
      <c r="E75">
        <v>869.60000000000036</v>
      </c>
      <c r="F75">
        <v>2015.4</v>
      </c>
      <c r="G75">
        <v>805.89999999999986</v>
      </c>
      <c r="H75">
        <v>1918.2000000000003</v>
      </c>
      <c r="I75">
        <v>675.1</v>
      </c>
      <c r="J75">
        <v>75.099999999999994</v>
      </c>
      <c r="K75" s="4">
        <v>345.39999999999782</v>
      </c>
      <c r="L75">
        <v>7748.9</v>
      </c>
    </row>
    <row r="76" spans="1:12" x14ac:dyDescent="0.2">
      <c r="A76" s="1">
        <v>45352</v>
      </c>
      <c r="B76">
        <v>730.60000000000014</v>
      </c>
      <c r="C76">
        <v>2166.0999999999995</v>
      </c>
      <c r="D76">
        <v>20.200000000000003</v>
      </c>
      <c r="E76">
        <v>842.09999999999945</v>
      </c>
      <c r="F76">
        <v>2106.1999999999998</v>
      </c>
      <c r="G76">
        <v>861.29999999999973</v>
      </c>
      <c r="H76">
        <v>1951.1999999999998</v>
      </c>
      <c r="I76">
        <v>771.59999999999991</v>
      </c>
      <c r="J76">
        <v>188.99999999999997</v>
      </c>
      <c r="K76" s="4">
        <v>361.40000000000691</v>
      </c>
      <c r="L76">
        <v>9999.7000000000044</v>
      </c>
    </row>
    <row r="77" spans="1:12" x14ac:dyDescent="0.2">
      <c r="A77" s="1">
        <v>45383</v>
      </c>
      <c r="B77">
        <v>853.7</v>
      </c>
      <c r="C77">
        <v>458.60000000000036</v>
      </c>
      <c r="D77">
        <v>21.699999999999996</v>
      </c>
      <c r="E77">
        <v>936.40000000000009</v>
      </c>
      <c r="F77">
        <v>2316.4000000000005</v>
      </c>
      <c r="G77">
        <v>874.10000000000036</v>
      </c>
      <c r="H77">
        <v>2012.8999999999996</v>
      </c>
      <c r="I77">
        <v>704.40000000000009</v>
      </c>
      <c r="J77">
        <v>161.69999999999999</v>
      </c>
      <c r="K77" s="4">
        <v>646.69999999999345</v>
      </c>
      <c r="L77">
        <v>8986.5999999999949</v>
      </c>
    </row>
    <row r="78" spans="1:12" x14ac:dyDescent="0.2">
      <c r="A78" s="1">
        <v>45413</v>
      </c>
      <c r="B78">
        <v>724.10000000000036</v>
      </c>
      <c r="C78">
        <v>362.60000000000036</v>
      </c>
      <c r="D78">
        <v>43.900000000000006</v>
      </c>
      <c r="E78">
        <v>892</v>
      </c>
      <c r="F78">
        <v>1909.1999999999989</v>
      </c>
      <c r="G78">
        <v>877.89999999999964</v>
      </c>
      <c r="H78">
        <v>2057.1000000000004</v>
      </c>
      <c r="I78">
        <v>686.90000000000009</v>
      </c>
      <c r="J78">
        <v>82.000000000000057</v>
      </c>
      <c r="K78" s="4">
        <v>612.89999999999236</v>
      </c>
      <c r="L78">
        <v>8248.5999999999913</v>
      </c>
    </row>
    <row r="79" spans="1:12" x14ac:dyDescent="0.2">
      <c r="A79" s="1">
        <v>45444</v>
      </c>
      <c r="B79">
        <v>732.69999999999982</v>
      </c>
      <c r="C79">
        <v>994.69999999999982</v>
      </c>
      <c r="D79">
        <v>229.7</v>
      </c>
      <c r="E79">
        <v>1045.8999999999996</v>
      </c>
      <c r="F79">
        <v>2019.4000000000015</v>
      </c>
      <c r="G79">
        <v>929.70000000000164</v>
      </c>
      <c r="H79">
        <v>2280.7999999999993</v>
      </c>
      <c r="I79">
        <v>769.49999999999955</v>
      </c>
      <c r="J79">
        <v>26.5</v>
      </c>
      <c r="K79" s="4">
        <v>568.40000000000146</v>
      </c>
      <c r="L79">
        <v>9597.3000000000029</v>
      </c>
    </row>
    <row r="80" spans="1:12" x14ac:dyDescent="0.2">
      <c r="A80" s="1">
        <v>45474</v>
      </c>
      <c r="B80">
        <v>731.89999999999964</v>
      </c>
      <c r="C80">
        <v>405.29999999999927</v>
      </c>
      <c r="D80">
        <v>82.900000000000034</v>
      </c>
      <c r="E80">
        <v>1057.2000000000007</v>
      </c>
      <c r="F80">
        <v>2199.6999999999989</v>
      </c>
      <c r="G80">
        <v>1090.1999999999989</v>
      </c>
      <c r="H80">
        <v>2145.4000000000015</v>
      </c>
      <c r="I80">
        <v>746.70000000000073</v>
      </c>
      <c r="J80">
        <v>1145</v>
      </c>
      <c r="K80" s="4">
        <v>641.00000000001819</v>
      </c>
      <c r="L80">
        <v>10245.300000000017</v>
      </c>
    </row>
    <row r="81" spans="1:12" x14ac:dyDescent="0.2">
      <c r="A81" s="1">
        <v>45505</v>
      </c>
      <c r="B81">
        <v>669.30000000000018</v>
      </c>
      <c r="C81">
        <v>402.90000000000055</v>
      </c>
      <c r="D81">
        <v>36.899999999999977</v>
      </c>
      <c r="E81">
        <v>1097</v>
      </c>
      <c r="F81">
        <v>2209.8000000000011</v>
      </c>
      <c r="G81">
        <v>1106.8000000000002</v>
      </c>
      <c r="H81">
        <v>2015.2999999999993</v>
      </c>
      <c r="I81">
        <v>697.39999999999964</v>
      </c>
      <c r="J81">
        <v>53.799999999999955</v>
      </c>
      <c r="K81" s="4">
        <v>481.09999999997308</v>
      </c>
      <c r="L81">
        <v>8770.2999999999738</v>
      </c>
    </row>
    <row r="82" spans="1:12" x14ac:dyDescent="0.2">
      <c r="A82" s="1">
        <v>45536</v>
      </c>
      <c r="B82">
        <v>662.5</v>
      </c>
      <c r="C82">
        <v>1101.8000000000002</v>
      </c>
      <c r="D82">
        <v>251.2000000000001</v>
      </c>
      <c r="E82">
        <v>1238.4000000000005</v>
      </c>
      <c r="F82">
        <v>2155.0999999999985</v>
      </c>
      <c r="G82">
        <v>1047.5000000000018</v>
      </c>
      <c r="H82">
        <v>1999.5999999999985</v>
      </c>
      <c r="I82">
        <v>689.60000000000036</v>
      </c>
      <c r="J82">
        <v>342.70000000000005</v>
      </c>
      <c r="K82" s="4">
        <v>421.90000000001783</v>
      </c>
      <c r="L82">
        <v>9910.3000000000175</v>
      </c>
    </row>
    <row r="83" spans="1:12" x14ac:dyDescent="0.2">
      <c r="A83" s="1">
        <v>45566</v>
      </c>
      <c r="B83">
        <v>709.10000000000036</v>
      </c>
      <c r="C83">
        <v>458</v>
      </c>
      <c r="D83">
        <v>57.399999999999977</v>
      </c>
      <c r="E83">
        <v>1171.0999999999985</v>
      </c>
      <c r="F83">
        <v>2309.7999999999993</v>
      </c>
      <c r="G83">
        <v>1030.8999999999996</v>
      </c>
      <c r="H83">
        <v>2087.7000000000007</v>
      </c>
      <c r="I83">
        <v>716.79999999999927</v>
      </c>
      <c r="J83">
        <v>63.300000000000182</v>
      </c>
      <c r="K83" s="4">
        <v>629.40000000000146</v>
      </c>
      <c r="L83">
        <v>9233.5</v>
      </c>
    </row>
    <row r="84" spans="1:12" x14ac:dyDescent="0.2">
      <c r="A84" s="1">
        <v>45597</v>
      </c>
      <c r="B84">
        <v>700.89999999999964</v>
      </c>
      <c r="C84">
        <v>413.39999999999964</v>
      </c>
      <c r="D84">
        <v>25.799999999999841</v>
      </c>
      <c r="E84">
        <v>1098.6000000000004</v>
      </c>
      <c r="F84">
        <v>2226.2000000000007</v>
      </c>
      <c r="G84">
        <v>918.10000000000036</v>
      </c>
      <c r="H84">
        <v>2092.2999999999993</v>
      </c>
      <c r="I84">
        <v>704.90000000000055</v>
      </c>
      <c r="J84">
        <v>93.400000000000091</v>
      </c>
      <c r="K84" s="4">
        <v>523.49999999997635</v>
      </c>
      <c r="L84">
        <v>8797.0999999999767</v>
      </c>
    </row>
    <row r="85" spans="1:12" x14ac:dyDescent="0.2">
      <c r="A85" s="1">
        <v>45627</v>
      </c>
      <c r="B85">
        <v>930.79999999999927</v>
      </c>
      <c r="C85">
        <v>1461.1999999999998</v>
      </c>
      <c r="D85">
        <v>44.900000000000091</v>
      </c>
      <c r="E85">
        <v>1117.3000000000011</v>
      </c>
      <c r="F85">
        <v>2423.5</v>
      </c>
      <c r="G85">
        <v>1090.4999999999982</v>
      </c>
      <c r="H85">
        <v>2528.1000000000022</v>
      </c>
      <c r="I85">
        <v>866.69999999999982</v>
      </c>
      <c r="J85">
        <v>320.5</v>
      </c>
      <c r="K85" s="4">
        <v>419.60000000000582</v>
      </c>
      <c r="L85">
        <v>11203.100000000006</v>
      </c>
    </row>
    <row r="86" spans="1:12" x14ac:dyDescent="0.2">
      <c r="A86" s="19">
        <v>45658</v>
      </c>
      <c r="B86" s="34">
        <v>688.3</v>
      </c>
      <c r="C86" s="34">
        <v>502</v>
      </c>
      <c r="D86" s="34">
        <v>8.1</v>
      </c>
      <c r="E86" s="34">
        <v>1486.4</v>
      </c>
      <c r="F86" s="34">
        <v>1770.7</v>
      </c>
      <c r="G86" s="34">
        <v>962.5</v>
      </c>
      <c r="H86" s="34">
        <v>2086.1</v>
      </c>
      <c r="I86" s="34">
        <v>804.2</v>
      </c>
      <c r="J86" s="34">
        <v>35.5</v>
      </c>
      <c r="K86" s="34">
        <v>589.99999999999818</v>
      </c>
      <c r="L86" s="34">
        <v>8933.7999999999993</v>
      </c>
    </row>
    <row r="87" spans="1:12" x14ac:dyDescent="0.2">
      <c r="A87" s="1">
        <v>45689</v>
      </c>
      <c r="B87" s="35">
        <v>748.4</v>
      </c>
      <c r="C87" s="35">
        <v>392.5</v>
      </c>
      <c r="D87" s="35">
        <v>14.5</v>
      </c>
      <c r="E87" s="35">
        <v>1074.2</v>
      </c>
      <c r="F87" s="35">
        <v>2072.6999999999998</v>
      </c>
      <c r="G87" s="35">
        <v>798.4</v>
      </c>
      <c r="H87" s="35">
        <v>2132.9</v>
      </c>
      <c r="I87" s="35">
        <v>785.7</v>
      </c>
      <c r="J87" s="35">
        <v>12.5</v>
      </c>
      <c r="K87" s="35">
        <v>636.69999999999982</v>
      </c>
      <c r="L87" s="35">
        <v>8668.5</v>
      </c>
    </row>
    <row r="88" spans="1:12" x14ac:dyDescent="0.2">
      <c r="A88" s="1">
        <v>45717</v>
      </c>
      <c r="B88" s="35">
        <v>857.39999999999986</v>
      </c>
      <c r="C88" s="35">
        <v>2094</v>
      </c>
      <c r="D88" s="35">
        <v>18.999999999999996</v>
      </c>
      <c r="E88" s="35">
        <v>977.59999999999991</v>
      </c>
      <c r="F88" s="35">
        <v>2351.3000000000002</v>
      </c>
      <c r="G88" s="35">
        <v>796.09999999999991</v>
      </c>
      <c r="H88" s="35">
        <v>2189.3999999999996</v>
      </c>
      <c r="I88" s="35">
        <v>894.90000000000009</v>
      </c>
      <c r="J88" s="35">
        <v>943.7</v>
      </c>
      <c r="K88" s="35">
        <v>425.79999999999745</v>
      </c>
      <c r="L88" s="35">
        <v>11549.199999999997</v>
      </c>
    </row>
    <row r="89" spans="1:12" x14ac:dyDescent="0.2">
      <c r="A89" s="1">
        <v>45748</v>
      </c>
      <c r="B89" s="35">
        <v>994.29999999999973</v>
      </c>
      <c r="C89" s="35">
        <v>503.19999999999982</v>
      </c>
      <c r="D89" s="35">
        <v>19.700000000000003</v>
      </c>
      <c r="E89" s="35">
        <v>1037.1000000000004</v>
      </c>
      <c r="F89" s="35">
        <v>2252.7999999999993</v>
      </c>
      <c r="G89" s="35">
        <v>887.09999999999991</v>
      </c>
      <c r="H89" s="35">
        <v>2248.3000000000011</v>
      </c>
      <c r="I89" s="35">
        <v>768.89999999999964</v>
      </c>
      <c r="J89" s="35">
        <v>796</v>
      </c>
      <c r="K89" s="35">
        <v>721.90000000000327</v>
      </c>
      <c r="L89" s="35">
        <v>10229.300000000003</v>
      </c>
    </row>
    <row r="90" spans="1:12" x14ac:dyDescent="0.2">
      <c r="A90" s="1">
        <v>45778</v>
      </c>
      <c r="B90" s="35">
        <v>768.60000000000036</v>
      </c>
      <c r="C90" s="35">
        <v>397.80000000000018</v>
      </c>
      <c r="D90" s="35">
        <v>41.599999999999994</v>
      </c>
      <c r="E90" s="35">
        <v>1096.1999999999998</v>
      </c>
      <c r="F90" s="35">
        <v>2307.9000000000015</v>
      </c>
      <c r="G90" s="35">
        <v>1038.4000000000001</v>
      </c>
      <c r="H90" s="35">
        <v>2307.8999999999996</v>
      </c>
      <c r="I90" s="35">
        <v>788.20000000000027</v>
      </c>
      <c r="J90" s="35">
        <v>14.199999999999818</v>
      </c>
      <c r="K90" s="35">
        <v>526.80000000000291</v>
      </c>
      <c r="L90" s="35">
        <v>9287.6000000000058</v>
      </c>
    </row>
    <row r="91" spans="1:12" x14ac:dyDescent="0.2">
      <c r="A91" s="1">
        <v>45809</v>
      </c>
      <c r="B91" s="35">
        <v>897.9</v>
      </c>
      <c r="C91" s="35">
        <v>1092.4000000000001</v>
      </c>
      <c r="D91" s="35">
        <v>244.2</v>
      </c>
      <c r="E91" s="35">
        <v>1154.8</v>
      </c>
      <c r="F91" s="35">
        <v>2163.1999999999998</v>
      </c>
      <c r="G91" s="35">
        <v>952.5</v>
      </c>
      <c r="H91" s="35">
        <v>2586.3000000000002</v>
      </c>
      <c r="I91" s="35">
        <v>868</v>
      </c>
      <c r="J91" s="35">
        <v>1029.9000000000001</v>
      </c>
      <c r="K91" s="35">
        <v>873.90000000000146</v>
      </c>
      <c r="L91" s="35">
        <v>11863.1</v>
      </c>
    </row>
    <row r="92" spans="1:12" x14ac:dyDescent="0.2">
      <c r="A92" s="1">
        <v>45839</v>
      </c>
      <c r="B92" s="35">
        <v>830</v>
      </c>
      <c r="C92" s="35">
        <v>491.90000000000055</v>
      </c>
      <c r="D92" s="35">
        <v>90.199999999999989</v>
      </c>
      <c r="E92" s="35">
        <v>1331.5999999999995</v>
      </c>
      <c r="F92" s="35">
        <v>2369.3000000000011</v>
      </c>
      <c r="G92" s="35">
        <v>1140.2999999999993</v>
      </c>
      <c r="H92" s="35">
        <v>2439.1000000000004</v>
      </c>
      <c r="I92" s="35">
        <v>823.30000000000018</v>
      </c>
      <c r="J92" s="35">
        <v>923.69999999999982</v>
      </c>
      <c r="K92" s="35">
        <v>1003.0999999999913</v>
      </c>
      <c r="L92" s="35">
        <v>11442.499999999993</v>
      </c>
    </row>
    <row r="93" spans="1:12" x14ac:dyDescent="0.2">
      <c r="A93" s="1">
        <v>45870</v>
      </c>
      <c r="B93" s="35">
        <v>738.10000000000036</v>
      </c>
      <c r="C93" s="35">
        <v>430.5</v>
      </c>
      <c r="D93" s="35">
        <v>40.699999999999989</v>
      </c>
      <c r="E93" s="35">
        <v>1278.5000000000018</v>
      </c>
      <c r="F93" s="35">
        <v>2297.0999999999985</v>
      </c>
      <c r="G93" s="35">
        <v>1189.9000000000015</v>
      </c>
      <c r="H93" s="35">
        <v>2196</v>
      </c>
      <c r="I93" s="35">
        <v>754.19999999999982</v>
      </c>
      <c r="J93" s="35">
        <v>457.30000000000018</v>
      </c>
      <c r="K93" s="35">
        <v>693.11999999999534</v>
      </c>
      <c r="L93" s="35">
        <v>10075.419999999998</v>
      </c>
    </row>
    <row r="94" spans="1:12" x14ac:dyDescent="0.2">
      <c r="A94" s="1">
        <v>45901</v>
      </c>
      <c r="B94" s="35">
        <v>759.1</v>
      </c>
      <c r="C94" s="35">
        <v>1198.7</v>
      </c>
      <c r="D94" s="35">
        <v>277.5</v>
      </c>
      <c r="E94" s="35">
        <v>1497.4</v>
      </c>
      <c r="F94" s="35">
        <v>2382.8000000000002</v>
      </c>
      <c r="G94" s="35">
        <v>1204.7</v>
      </c>
      <c r="H94" s="35">
        <v>2253.1</v>
      </c>
      <c r="I94" s="35">
        <v>770.9</v>
      </c>
      <c r="J94" s="35">
        <v>95.1</v>
      </c>
      <c r="K94" s="35">
        <v>440.68000000002576</v>
      </c>
      <c r="L94" s="35">
        <v>10879.980000000025</v>
      </c>
    </row>
    <row r="95" spans="1:12" x14ac:dyDescent="0.2">
      <c r="A95" s="1">
        <v>45931</v>
      </c>
      <c r="B95" s="35">
        <v>811.10000000000036</v>
      </c>
      <c r="C95" s="35">
        <v>520.10000000000036</v>
      </c>
      <c r="D95" s="35">
        <v>59</v>
      </c>
      <c r="E95" s="35">
        <v>1396.2999999999993</v>
      </c>
      <c r="F95" s="35">
        <v>2439.2999999999993</v>
      </c>
      <c r="G95" s="35">
        <v>1072.1999999999971</v>
      </c>
      <c r="H95" s="35">
        <v>2376.4000000000015</v>
      </c>
      <c r="I95" s="35">
        <v>817.80000000000109</v>
      </c>
      <c r="J95" s="35">
        <v>204.09999999999945</v>
      </c>
      <c r="K95" s="35">
        <v>402.0999999999658</v>
      </c>
      <c r="L95" s="35">
        <v>10098.399999999965</v>
      </c>
    </row>
    <row r="96" spans="1:12" x14ac:dyDescent="0.2">
      <c r="A96" s="1">
        <v>45962</v>
      </c>
      <c r="B96" s="35">
        <v>784.69999999999891</v>
      </c>
      <c r="C96" s="35">
        <v>440.69999999999982</v>
      </c>
      <c r="D96" s="35">
        <v>29.399999999999977</v>
      </c>
      <c r="E96" s="35">
        <v>1374.0999999999985</v>
      </c>
      <c r="F96" s="35">
        <v>2326.1000000000022</v>
      </c>
      <c r="G96" s="35">
        <v>1244</v>
      </c>
      <c r="H96" s="35">
        <v>2335.2000000000007</v>
      </c>
      <c r="I96" s="35">
        <v>787.69999999999891</v>
      </c>
      <c r="J96" s="35">
        <v>63</v>
      </c>
      <c r="K96" s="35">
        <v>541.0000000000382</v>
      </c>
      <c r="L96" s="35">
        <v>9925.9000000000378</v>
      </c>
    </row>
    <row r="97" spans="1:15" x14ac:dyDescent="0.2">
      <c r="A97" s="1">
        <v>45998</v>
      </c>
      <c r="B97">
        <v>1078.7</v>
      </c>
      <c r="C97">
        <v>1610</v>
      </c>
      <c r="D97">
        <v>34.4</v>
      </c>
      <c r="E97">
        <v>1447.5</v>
      </c>
      <c r="F97">
        <v>2670.3</v>
      </c>
      <c r="G97">
        <v>1302.2</v>
      </c>
      <c r="H97">
        <v>2930.3</v>
      </c>
      <c r="I97">
        <v>991.5</v>
      </c>
      <c r="J97">
        <v>94.3</v>
      </c>
      <c r="K97" s="4">
        <v>489.09999999999854</v>
      </c>
      <c r="L97">
        <v>12648.3</v>
      </c>
    </row>
    <row r="98" spans="1:15" x14ac:dyDescent="0.2">
      <c r="A98" s="72">
        <v>46023</v>
      </c>
      <c r="B98" s="55">
        <v>785.6</v>
      </c>
      <c r="C98" s="55">
        <v>513.6</v>
      </c>
      <c r="D98" s="55">
        <v>9.5</v>
      </c>
      <c r="E98" s="55">
        <v>1719.7</v>
      </c>
      <c r="F98" s="55">
        <v>1794.9</v>
      </c>
      <c r="G98" s="55">
        <v>862.7</v>
      </c>
      <c r="H98" s="55">
        <v>2312.1</v>
      </c>
      <c r="I98" s="55">
        <v>908.8</v>
      </c>
      <c r="J98" s="55">
        <v>31.6</v>
      </c>
      <c r="K98" s="73">
        <v>666.89999999999964</v>
      </c>
      <c r="L98" s="55">
        <v>9605.4</v>
      </c>
      <c r="O98" s="4"/>
    </row>
    <row r="99" spans="1:15" x14ac:dyDescent="0.2">
      <c r="A99" s="1">
        <v>46054</v>
      </c>
      <c r="B99">
        <v>811.99999999999989</v>
      </c>
      <c r="C99">
        <v>476</v>
      </c>
      <c r="D99">
        <v>9.8999999999999986</v>
      </c>
      <c r="E99">
        <v>1259.3999999999999</v>
      </c>
      <c r="F99">
        <v>2094.1999999999998</v>
      </c>
      <c r="G99">
        <v>974.90000000000009</v>
      </c>
      <c r="H99">
        <v>2302.2999999999997</v>
      </c>
      <c r="I99">
        <v>871.90000000000009</v>
      </c>
      <c r="J99">
        <v>100.10000000000002</v>
      </c>
      <c r="K99" s="4">
        <v>311.89999999999964</v>
      </c>
      <c r="L99">
        <v>9212.5999999999985</v>
      </c>
    </row>
    <row r="100" spans="1:15" x14ac:dyDescent="0.2">
      <c r="A100" s="1">
        <v>46082</v>
      </c>
      <c r="B100">
        <v>965.30000000000018</v>
      </c>
      <c r="C100">
        <v>2371.1</v>
      </c>
      <c r="D100">
        <v>19.000000000000007</v>
      </c>
      <c r="E100">
        <v>1122.2999999999997</v>
      </c>
      <c r="F100">
        <v>2660.0000000000005</v>
      </c>
      <c r="G100">
        <v>968.7999999999995</v>
      </c>
      <c r="H100">
        <v>2402.9000000000005</v>
      </c>
      <c r="I100">
        <v>992.7</v>
      </c>
      <c r="J100">
        <v>26.899999999999977</v>
      </c>
      <c r="K100" s="4">
        <v>642.70000000000255</v>
      </c>
      <c r="L100">
        <v>12171.700000000004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82EA-ECF9-4D46-8EA2-08D2E5011C49}">
  <sheetPr>
    <tabColor theme="5" tint="0.79998168889431442"/>
  </sheetPr>
  <dimension ref="A1:N10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baseColWidth="10" defaultColWidth="8.83203125" defaultRowHeight="15" x14ac:dyDescent="0.2"/>
  <cols>
    <col min="1" max="1" width="14.1640625" style="59" bestFit="1" customWidth="1"/>
    <col min="2" max="13" width="12.6640625" style="59" customWidth="1"/>
    <col min="14" max="16384" width="8.83203125" style="59"/>
  </cols>
  <sheetData>
    <row r="1" spans="1:14" ht="96" x14ac:dyDescent="0.2">
      <c r="A1" s="56" t="s">
        <v>0</v>
      </c>
      <c r="B1" s="57" t="s">
        <v>12</v>
      </c>
      <c r="C1" s="57" t="s">
        <v>13</v>
      </c>
      <c r="D1" s="57" t="s">
        <v>14</v>
      </c>
      <c r="E1" s="57" t="s">
        <v>15</v>
      </c>
      <c r="F1" s="57" t="s">
        <v>16</v>
      </c>
      <c r="G1" s="57" t="s">
        <v>17</v>
      </c>
      <c r="H1" s="57" t="s">
        <v>18</v>
      </c>
      <c r="I1" s="57" t="s">
        <v>19</v>
      </c>
      <c r="J1" s="57" t="s">
        <v>20</v>
      </c>
      <c r="K1" s="57" t="s">
        <v>21</v>
      </c>
      <c r="L1" s="58" t="s">
        <v>22</v>
      </c>
      <c r="M1" s="58" t="s">
        <v>23</v>
      </c>
      <c r="N1" s="58" t="s">
        <v>41</v>
      </c>
    </row>
    <row r="2" spans="1:14" x14ac:dyDescent="0.2">
      <c r="A2" s="60">
        <v>43101</v>
      </c>
      <c r="B2" s="59">
        <v>260.09999999999991</v>
      </c>
      <c r="C2" s="59">
        <v>16.399999999999999</v>
      </c>
      <c r="D2" s="59">
        <v>223.70000000000002</v>
      </c>
      <c r="E2" s="59">
        <v>190.70000000000002</v>
      </c>
      <c r="F2" s="59">
        <v>4.6000000000000005</v>
      </c>
      <c r="G2" s="59">
        <v>35.200000000000003</v>
      </c>
      <c r="H2" s="59">
        <v>378.59999999999997</v>
      </c>
      <c r="I2" s="59">
        <v>68.599999999999994</v>
      </c>
      <c r="J2" s="59">
        <v>540.59999999999991</v>
      </c>
      <c r="K2" s="59">
        <v>1623.6999999999998</v>
      </c>
      <c r="M2" s="59">
        <f>SUM(Table2[[#This Row],[Servicii de stat cu destinație generală]:[Protecție socială]])-L2</f>
        <v>3342.2</v>
      </c>
      <c r="N2" s="59">
        <v>3342.2</v>
      </c>
    </row>
    <row r="3" spans="1:14" x14ac:dyDescent="0.2">
      <c r="A3" s="60">
        <v>43132</v>
      </c>
      <c r="B3" s="59">
        <v>445.30000000000007</v>
      </c>
      <c r="C3" s="59">
        <v>39.200000000000003</v>
      </c>
      <c r="D3" s="59">
        <v>295</v>
      </c>
      <c r="E3" s="59">
        <v>377</v>
      </c>
      <c r="F3" s="59">
        <v>10.199999999999999</v>
      </c>
      <c r="G3" s="59">
        <v>55.3</v>
      </c>
      <c r="H3" s="59">
        <v>510.7999999999999</v>
      </c>
      <c r="I3" s="59">
        <v>100.19999999999999</v>
      </c>
      <c r="J3" s="59">
        <v>884.29999999999973</v>
      </c>
      <c r="K3" s="59">
        <v>1641.7000000000003</v>
      </c>
      <c r="M3" s="59">
        <f>SUM(Table2[[#This Row],[Servicii de stat cu destinație generală]:[Protecție socială]])-L3</f>
        <v>4359</v>
      </c>
      <c r="N3" s="59">
        <v>4359.0000000000009</v>
      </c>
    </row>
    <row r="4" spans="1:14" x14ac:dyDescent="0.2">
      <c r="A4" s="60">
        <v>43160</v>
      </c>
      <c r="B4" s="59">
        <v>405.1</v>
      </c>
      <c r="C4" s="59">
        <v>48.9</v>
      </c>
      <c r="D4" s="59">
        <v>305.09999999999991</v>
      </c>
      <c r="E4" s="59">
        <v>268.89999999999998</v>
      </c>
      <c r="F4" s="59">
        <v>7.7000000000000028</v>
      </c>
      <c r="G4" s="59">
        <v>82.1</v>
      </c>
      <c r="H4" s="59">
        <v>671.5</v>
      </c>
      <c r="I4" s="59">
        <v>116.80000000000004</v>
      </c>
      <c r="J4" s="59">
        <v>870.40000000000055</v>
      </c>
      <c r="K4" s="59">
        <v>1682.8000000000006</v>
      </c>
      <c r="M4" s="59">
        <f>SUM(Table2[[#This Row],[Servicii de stat cu destinație generală]:[Protecție socială]])-L4</f>
        <v>4459.3000000000011</v>
      </c>
      <c r="N4" s="59">
        <v>4459.2999999999975</v>
      </c>
    </row>
    <row r="5" spans="1:14" x14ac:dyDescent="0.2">
      <c r="A5" s="60">
        <v>43191</v>
      </c>
      <c r="B5" s="59">
        <v>668.59999999999968</v>
      </c>
      <c r="C5" s="59">
        <v>53.699999999999989</v>
      </c>
      <c r="D5" s="59">
        <v>350.70000000000005</v>
      </c>
      <c r="E5" s="59">
        <v>286.99999999999989</v>
      </c>
      <c r="F5" s="59">
        <v>6.8999999999999986</v>
      </c>
      <c r="G5" s="59">
        <v>81.500000000000028</v>
      </c>
      <c r="H5" s="59">
        <v>590.79999999999995</v>
      </c>
      <c r="I5" s="59">
        <v>97.199999999999932</v>
      </c>
      <c r="J5" s="59">
        <v>785.29999999999973</v>
      </c>
      <c r="K5" s="59">
        <v>1840.0999999999995</v>
      </c>
      <c r="M5" s="59">
        <f>SUM(Table2[[#This Row],[Servicii de stat cu destinație generală]:[Protecție socială]])-L5</f>
        <v>4761.7999999999993</v>
      </c>
      <c r="N5" s="59">
        <v>4761.8000000000011</v>
      </c>
    </row>
    <row r="6" spans="1:14" x14ac:dyDescent="0.2">
      <c r="A6" s="60">
        <v>43221</v>
      </c>
      <c r="B6" s="59">
        <v>399.10000000000014</v>
      </c>
      <c r="C6" s="59">
        <v>47.600000000000023</v>
      </c>
      <c r="D6" s="59">
        <v>312.79999999999995</v>
      </c>
      <c r="E6" s="59">
        <v>365</v>
      </c>
      <c r="F6" s="59">
        <v>8.8000000000000007</v>
      </c>
      <c r="G6" s="59">
        <v>137.69999999999999</v>
      </c>
      <c r="H6" s="59">
        <v>660.70000000000027</v>
      </c>
      <c r="I6" s="59">
        <v>114.50000000000011</v>
      </c>
      <c r="J6" s="59">
        <v>772.00000000000091</v>
      </c>
      <c r="K6" s="59">
        <v>1727.1999999999998</v>
      </c>
      <c r="M6" s="59">
        <f>SUM(Table2[[#This Row],[Servicii de stat cu destinație generală]:[Protecție socială]])-L6</f>
        <v>4545.4000000000015</v>
      </c>
      <c r="N6" s="59">
        <v>4545.4000000000015</v>
      </c>
    </row>
    <row r="7" spans="1:14" x14ac:dyDescent="0.2">
      <c r="A7" s="60">
        <v>43252</v>
      </c>
      <c r="B7" s="59">
        <v>400.20000000000027</v>
      </c>
      <c r="C7" s="59">
        <v>51</v>
      </c>
      <c r="D7" s="59">
        <v>342.50000000000023</v>
      </c>
      <c r="E7" s="59">
        <v>809.10000000000036</v>
      </c>
      <c r="F7" s="59">
        <v>11.899999999999999</v>
      </c>
      <c r="G7" s="59">
        <v>122.50000000000006</v>
      </c>
      <c r="H7" s="59">
        <v>610.59999999999991</v>
      </c>
      <c r="I7" s="59">
        <v>116.29999999999995</v>
      </c>
      <c r="J7" s="59">
        <v>1276.6999999999985</v>
      </c>
      <c r="K7" s="59">
        <v>1686.1999999999971</v>
      </c>
      <c r="M7" s="59">
        <f>SUM(Table2[[#This Row],[Servicii de stat cu destinație generală]:[Protecție socială]])-L7</f>
        <v>5426.9999999999964</v>
      </c>
      <c r="N7" s="59">
        <v>5427</v>
      </c>
    </row>
    <row r="8" spans="1:14" x14ac:dyDescent="0.2">
      <c r="A8" s="60">
        <v>43282</v>
      </c>
      <c r="B8" s="59">
        <v>379.29999999999973</v>
      </c>
      <c r="C8" s="59">
        <v>48.100000000000023</v>
      </c>
      <c r="D8" s="59">
        <v>355.19999999999982</v>
      </c>
      <c r="E8" s="59">
        <v>603.19999999999982</v>
      </c>
      <c r="F8" s="59">
        <v>11.900000000000006</v>
      </c>
      <c r="G8" s="59">
        <v>153.09999999999991</v>
      </c>
      <c r="H8" s="59">
        <v>656.59999999999945</v>
      </c>
      <c r="I8" s="59">
        <v>121.39999999999998</v>
      </c>
      <c r="J8" s="59">
        <v>829.5</v>
      </c>
      <c r="K8" s="59">
        <v>1722.0000000000055</v>
      </c>
      <c r="M8" s="59">
        <f>SUM(Table2[[#This Row],[Servicii de stat cu destinație generală]:[Protecție socială]])-L8</f>
        <v>4880.3000000000047</v>
      </c>
      <c r="N8" s="59">
        <v>4880.3000000000065</v>
      </c>
    </row>
    <row r="9" spans="1:14" x14ac:dyDescent="0.2">
      <c r="A9" s="60">
        <v>43313</v>
      </c>
      <c r="B9" s="59">
        <v>392.30000000000018</v>
      </c>
      <c r="C9" s="59">
        <v>67.999999999999943</v>
      </c>
      <c r="D9" s="59">
        <v>365.89999999999964</v>
      </c>
      <c r="E9" s="59">
        <v>603.59999999999991</v>
      </c>
      <c r="F9" s="59">
        <v>10.699999999999996</v>
      </c>
      <c r="G9" s="59">
        <v>131.70000000000005</v>
      </c>
      <c r="H9" s="59">
        <v>650.30000000000018</v>
      </c>
      <c r="I9" s="59">
        <v>102.19999999999993</v>
      </c>
      <c r="J9" s="59">
        <v>562.40000000000055</v>
      </c>
      <c r="K9" s="59">
        <v>1688.2999999999975</v>
      </c>
      <c r="M9" s="59">
        <f>SUM(Table2[[#This Row],[Servicii de stat cu destinație generală]:[Protecție socială]])-L9</f>
        <v>4575.3999999999978</v>
      </c>
      <c r="N9" s="59">
        <v>4575.2999999999884</v>
      </c>
    </row>
    <row r="10" spans="1:14" x14ac:dyDescent="0.2">
      <c r="A10" s="60">
        <v>43344</v>
      </c>
      <c r="B10" s="59">
        <v>343.80000000000018</v>
      </c>
      <c r="C10" s="59">
        <v>53.100000000000023</v>
      </c>
      <c r="D10" s="59">
        <v>331.80000000000018</v>
      </c>
      <c r="E10" s="59">
        <v>598.80000000000018</v>
      </c>
      <c r="F10" s="59">
        <v>5.7999999999999972</v>
      </c>
      <c r="G10" s="59">
        <v>129.79999999999984</v>
      </c>
      <c r="H10" s="59">
        <v>608.60000000000127</v>
      </c>
      <c r="I10" s="59">
        <v>121.10000000000002</v>
      </c>
      <c r="J10" s="59">
        <v>646.89999999999964</v>
      </c>
      <c r="K10" s="59">
        <v>1685.1000000000004</v>
      </c>
      <c r="M10" s="59">
        <f>SUM(Table2[[#This Row],[Servicii de stat cu destinație generală]:[Protecție socială]])-L10</f>
        <v>4524.8000000000011</v>
      </c>
      <c r="N10" s="59">
        <v>4524.9000000000015</v>
      </c>
    </row>
    <row r="11" spans="1:14" x14ac:dyDescent="0.2">
      <c r="A11" s="60">
        <v>43374</v>
      </c>
      <c r="B11" s="59">
        <v>698.59999999999945</v>
      </c>
      <c r="C11" s="59">
        <v>59.299999999999955</v>
      </c>
      <c r="D11" s="59">
        <v>342.90000000000055</v>
      </c>
      <c r="E11" s="59">
        <v>691.39999999999964</v>
      </c>
      <c r="F11" s="59">
        <v>6</v>
      </c>
      <c r="G11" s="59">
        <v>145.00000000000023</v>
      </c>
      <c r="H11" s="59">
        <v>634.30000000000018</v>
      </c>
      <c r="I11" s="59">
        <v>140.10000000000014</v>
      </c>
      <c r="J11" s="59">
        <v>872.5</v>
      </c>
      <c r="K11" s="59">
        <v>1754.1000000000004</v>
      </c>
      <c r="M11" s="59">
        <f>SUM(Table2[[#This Row],[Servicii de stat cu destinație generală]:[Protecție socială]])-L11</f>
        <v>5344.2000000000007</v>
      </c>
      <c r="N11" s="59">
        <v>5344.2000000000044</v>
      </c>
    </row>
    <row r="12" spans="1:14" x14ac:dyDescent="0.2">
      <c r="A12" s="60">
        <v>43405</v>
      </c>
      <c r="B12" s="59">
        <v>432.40000000000055</v>
      </c>
      <c r="C12" s="59">
        <v>63.200000000000045</v>
      </c>
      <c r="D12" s="59">
        <v>401.89999999999964</v>
      </c>
      <c r="E12" s="59">
        <v>769.80000000000018</v>
      </c>
      <c r="F12" s="59">
        <v>11.299999999999997</v>
      </c>
      <c r="G12" s="59">
        <v>164.79999999999973</v>
      </c>
      <c r="H12" s="59">
        <v>732.59999999999945</v>
      </c>
      <c r="I12" s="59">
        <v>152.59999999999991</v>
      </c>
      <c r="J12" s="59">
        <v>937.60000000000127</v>
      </c>
      <c r="K12" s="59">
        <v>1754.5999999999985</v>
      </c>
      <c r="M12" s="59">
        <f>SUM(Table2[[#This Row],[Servicii de stat cu destinație generală]:[Protecție socială]])-L12</f>
        <v>5420.7999999999993</v>
      </c>
      <c r="N12" s="59">
        <v>5420.7999999999956</v>
      </c>
    </row>
    <row r="13" spans="1:14" x14ac:dyDescent="0.2">
      <c r="A13" s="60">
        <v>43435</v>
      </c>
      <c r="B13" s="59">
        <v>726.89999999999964</v>
      </c>
      <c r="C13" s="59">
        <v>94.800000000000068</v>
      </c>
      <c r="D13" s="59">
        <v>748.70000000000073</v>
      </c>
      <c r="E13" s="59">
        <v>1051.2000000000007</v>
      </c>
      <c r="F13" s="59">
        <v>19.599999999999994</v>
      </c>
      <c r="G13" s="59">
        <v>284.70000000000005</v>
      </c>
      <c r="H13" s="59">
        <v>1093.5999999999995</v>
      </c>
      <c r="I13" s="59">
        <v>268.09999999999991</v>
      </c>
      <c r="J13" s="59">
        <v>1483.8999999999978</v>
      </c>
      <c r="K13" s="59">
        <v>2197.2000000000007</v>
      </c>
      <c r="M13" s="59">
        <f>SUM(Table2[[#This Row],[Servicii de stat cu destinație generală]:[Protecție socială]])-L13</f>
        <v>7968.6999999999989</v>
      </c>
      <c r="N13" s="59">
        <v>7968.6999999999898</v>
      </c>
    </row>
    <row r="14" spans="1:14" x14ac:dyDescent="0.2">
      <c r="A14" s="60">
        <v>43466</v>
      </c>
      <c r="B14" s="59">
        <v>325.5</v>
      </c>
      <c r="C14" s="59">
        <v>32.700000000000003</v>
      </c>
      <c r="D14" s="59">
        <v>274.89999999999998</v>
      </c>
      <c r="E14" s="59">
        <v>254.20000000000005</v>
      </c>
      <c r="F14" s="59">
        <v>7.6</v>
      </c>
      <c r="G14" s="59">
        <v>50.6</v>
      </c>
      <c r="H14" s="59">
        <v>469.20000000000005</v>
      </c>
      <c r="I14" s="59">
        <v>100.30000000000001</v>
      </c>
      <c r="J14" s="59">
        <v>752.99999999999989</v>
      </c>
      <c r="K14" s="59">
        <v>1870.2</v>
      </c>
      <c r="M14" s="59">
        <f>SUM(Table2[[#This Row],[Servicii de stat cu destinație generală]:[Protecție socială]])-L14</f>
        <v>4138.2</v>
      </c>
      <c r="N14" s="59">
        <v>4138.1999999999989</v>
      </c>
    </row>
    <row r="15" spans="1:14" x14ac:dyDescent="0.2">
      <c r="A15" s="60">
        <v>43497</v>
      </c>
      <c r="B15" s="59">
        <v>589.70000000000005</v>
      </c>
      <c r="C15" s="59">
        <v>43</v>
      </c>
      <c r="D15" s="59">
        <v>318.5</v>
      </c>
      <c r="E15" s="59">
        <v>360.39999999999986</v>
      </c>
      <c r="F15" s="59">
        <v>12.1</v>
      </c>
      <c r="G15" s="59">
        <v>80.900000000000006</v>
      </c>
      <c r="H15" s="59">
        <v>556.70000000000005</v>
      </c>
      <c r="I15" s="59">
        <v>146.4</v>
      </c>
      <c r="J15" s="59">
        <v>1106.5000000000005</v>
      </c>
      <c r="K15" s="59">
        <v>1925.7000000000005</v>
      </c>
      <c r="M15" s="59">
        <f>SUM(Table2[[#This Row],[Servicii de stat cu destinație generală]:[Protecție socială]])-L15</f>
        <v>5139.9000000000005</v>
      </c>
      <c r="N15" s="59">
        <v>5139.9000000000015</v>
      </c>
    </row>
    <row r="16" spans="1:14" x14ac:dyDescent="0.2">
      <c r="A16" s="60">
        <v>43525</v>
      </c>
      <c r="B16" s="59">
        <v>487.20000000000005</v>
      </c>
      <c r="C16" s="59">
        <v>40.400000000000006</v>
      </c>
      <c r="D16" s="59">
        <v>331.9</v>
      </c>
      <c r="E16" s="59">
        <v>521.90000000000009</v>
      </c>
      <c r="F16" s="59">
        <v>9.6000000000000014</v>
      </c>
      <c r="G16" s="59">
        <v>103.69999999999999</v>
      </c>
      <c r="H16" s="59">
        <v>624.59999999999991</v>
      </c>
      <c r="I16" s="59">
        <v>156.20000000000002</v>
      </c>
      <c r="J16" s="59">
        <v>1041.5999999999999</v>
      </c>
      <c r="K16" s="59">
        <v>1904.5999999999985</v>
      </c>
      <c r="M16" s="59">
        <f>SUM(Table2[[#This Row],[Servicii de stat cu destinație generală]:[Protecție socială]])-L16</f>
        <v>5221.6999999999989</v>
      </c>
      <c r="N16" s="59">
        <v>5221.6999999999989</v>
      </c>
    </row>
    <row r="17" spans="1:14" x14ac:dyDescent="0.2">
      <c r="A17" s="60">
        <v>43556</v>
      </c>
      <c r="B17" s="59">
        <v>769.09999999999991</v>
      </c>
      <c r="C17" s="59">
        <v>42.499999999999986</v>
      </c>
      <c r="D17" s="59">
        <v>322.00000000000023</v>
      </c>
      <c r="E17" s="59">
        <v>548.39999999999986</v>
      </c>
      <c r="F17" s="59">
        <v>7.5999999999999979</v>
      </c>
      <c r="G17" s="59">
        <v>144.89999999999998</v>
      </c>
      <c r="H17" s="59">
        <v>808.40000000000009</v>
      </c>
      <c r="I17" s="59">
        <v>146.19999999999987</v>
      </c>
      <c r="J17" s="59">
        <v>1015.7999999999997</v>
      </c>
      <c r="K17" s="59">
        <v>3815.9000000000005</v>
      </c>
      <c r="M17" s="61">
        <f>SUM(Table2[[#This Row],[Servicii de stat cu destinație generală]:[Protecție socială]])-L17</f>
        <v>7620.8</v>
      </c>
      <c r="N17" s="61">
        <v>6210.8999999999942</v>
      </c>
    </row>
    <row r="18" spans="1:14" x14ac:dyDescent="0.2">
      <c r="A18" s="60">
        <v>43586</v>
      </c>
      <c r="B18" s="59">
        <v>457.30000000000064</v>
      </c>
      <c r="C18" s="59">
        <v>45.800000000000011</v>
      </c>
      <c r="D18" s="59">
        <v>345.29999999999973</v>
      </c>
      <c r="E18" s="59">
        <v>558.70000000000005</v>
      </c>
      <c r="F18" s="59">
        <v>15.200000000000003</v>
      </c>
      <c r="G18" s="59">
        <v>148.80000000000001</v>
      </c>
      <c r="H18" s="59">
        <v>556.09999999999991</v>
      </c>
      <c r="I18" s="59">
        <v>155.40000000000009</v>
      </c>
      <c r="J18" s="59">
        <v>985.70000000000073</v>
      </c>
      <c r="K18" s="59">
        <v>494.80000000000109</v>
      </c>
      <c r="M18" s="61">
        <f>SUM(Table2[[#This Row],[Servicii de stat cu destinație generală]:[Protecție socială]])-L18</f>
        <v>3763.1000000000022</v>
      </c>
      <c r="N18" s="61">
        <v>5173.0000000000036</v>
      </c>
    </row>
    <row r="19" spans="1:14" x14ac:dyDescent="0.2">
      <c r="A19" s="60">
        <v>43617</v>
      </c>
      <c r="B19" s="59">
        <v>388.40000000000009</v>
      </c>
      <c r="C19" s="59">
        <v>46.1</v>
      </c>
      <c r="D19" s="59">
        <v>332.40000000000009</v>
      </c>
      <c r="E19" s="59">
        <v>541.70000000000027</v>
      </c>
      <c r="F19" s="59">
        <v>9.7999999999999972</v>
      </c>
      <c r="G19" s="59">
        <v>149.10000000000002</v>
      </c>
      <c r="H19" s="59">
        <v>657.49999999999955</v>
      </c>
      <c r="I19" s="59">
        <v>171.30000000000007</v>
      </c>
      <c r="J19" s="59">
        <v>1512.8000000000002</v>
      </c>
      <c r="K19" s="59">
        <v>1877</v>
      </c>
      <c r="M19" s="59">
        <f>SUM(Table2[[#This Row],[Servicii de stat cu destinație generală]:[Protecție socială]])-L19</f>
        <v>5686.1</v>
      </c>
      <c r="N19" s="59">
        <v>5686.1000000000022</v>
      </c>
    </row>
    <row r="20" spans="1:14" x14ac:dyDescent="0.2">
      <c r="A20" s="60">
        <v>43647</v>
      </c>
      <c r="B20" s="59">
        <v>434.09999999999991</v>
      </c>
      <c r="C20" s="59">
        <v>49.899999999999977</v>
      </c>
      <c r="D20" s="59">
        <v>379.29999999999973</v>
      </c>
      <c r="E20" s="59">
        <v>651.39999999999964</v>
      </c>
      <c r="F20" s="59">
        <v>10.400000000000013</v>
      </c>
      <c r="G20" s="59">
        <v>131.20000000000005</v>
      </c>
      <c r="H20" s="59">
        <v>886.90000000000009</v>
      </c>
      <c r="I20" s="59">
        <v>155.99999999999989</v>
      </c>
      <c r="J20" s="59">
        <v>928.79999999999927</v>
      </c>
      <c r="K20" s="59">
        <v>1933.4000000000033</v>
      </c>
      <c r="M20" s="59">
        <f>SUM(Table2[[#This Row],[Servicii de stat cu destinație generală]:[Protecție socială]])-L20</f>
        <v>5561.4000000000024</v>
      </c>
      <c r="N20" s="59">
        <v>5561.3999999999978</v>
      </c>
    </row>
    <row r="21" spans="1:14" x14ac:dyDescent="0.2">
      <c r="A21" s="60">
        <v>43678</v>
      </c>
      <c r="B21" s="59">
        <v>447.099999999999</v>
      </c>
      <c r="C21" s="59">
        <v>44.699999999999989</v>
      </c>
      <c r="D21" s="59">
        <v>340.30000000000018</v>
      </c>
      <c r="E21" s="59">
        <v>586.10000000000036</v>
      </c>
      <c r="F21" s="59">
        <v>10.699999999999989</v>
      </c>
      <c r="G21" s="59">
        <v>105.19999999999993</v>
      </c>
      <c r="H21" s="59">
        <v>580.20000000000073</v>
      </c>
      <c r="I21" s="59">
        <v>121.79999999999995</v>
      </c>
      <c r="J21" s="59">
        <v>610.69999999999982</v>
      </c>
      <c r="K21" s="59">
        <v>1830.9999999999982</v>
      </c>
      <c r="M21" s="59">
        <f>SUM(Table2[[#This Row],[Servicii de stat cu destinație generală]:[Protecție socială]])-L21</f>
        <v>4677.7999999999984</v>
      </c>
      <c r="N21" s="59">
        <v>4677.8000000000029</v>
      </c>
    </row>
    <row r="22" spans="1:14" x14ac:dyDescent="0.2">
      <c r="A22" s="60">
        <v>43709</v>
      </c>
      <c r="B22" s="59">
        <v>419.10000000000127</v>
      </c>
      <c r="C22" s="59">
        <v>45.199999999999989</v>
      </c>
      <c r="D22" s="59">
        <v>324.10000000000036</v>
      </c>
      <c r="E22" s="59">
        <v>679.90000000000055</v>
      </c>
      <c r="F22" s="59">
        <v>17.100000000000009</v>
      </c>
      <c r="G22" s="59">
        <v>162.60000000000002</v>
      </c>
      <c r="H22" s="59">
        <v>611.79999999999836</v>
      </c>
      <c r="I22" s="59">
        <v>140.70000000000027</v>
      </c>
      <c r="J22" s="59">
        <v>678.89999999999964</v>
      </c>
      <c r="K22" s="59">
        <v>1882.6999999999989</v>
      </c>
      <c r="M22" s="59">
        <f>SUM(Table2[[#This Row],[Servicii de stat cu destinație generală]:[Protecție socială]])-L22</f>
        <v>4962.0999999999995</v>
      </c>
      <c r="N22" s="59">
        <v>4962.0999999999985</v>
      </c>
    </row>
    <row r="23" spans="1:14" x14ac:dyDescent="0.2">
      <c r="A23" s="60">
        <v>43739</v>
      </c>
      <c r="B23" s="59">
        <v>859.19999999999891</v>
      </c>
      <c r="C23" s="59">
        <v>45.000000000000057</v>
      </c>
      <c r="D23" s="59">
        <v>360.29999999999973</v>
      </c>
      <c r="E23" s="59">
        <v>673.29999999999836</v>
      </c>
      <c r="F23" s="59">
        <v>22.499999999999986</v>
      </c>
      <c r="G23" s="59">
        <v>141.59999999999991</v>
      </c>
      <c r="H23" s="59">
        <v>902.40000000000146</v>
      </c>
      <c r="I23" s="59">
        <v>154.29999999999995</v>
      </c>
      <c r="J23" s="59">
        <v>943.40000000000146</v>
      </c>
      <c r="K23" s="59">
        <v>1877.7000000000007</v>
      </c>
      <c r="M23" s="59">
        <f>SUM(Table2[[#This Row],[Servicii de stat cu destinație generală]:[Protecție socială]])-L23</f>
        <v>5979.7000000000007</v>
      </c>
      <c r="N23" s="59">
        <v>5979.6999999999971</v>
      </c>
    </row>
    <row r="24" spans="1:14" x14ac:dyDescent="0.2">
      <c r="A24" s="60">
        <v>43770</v>
      </c>
      <c r="B24" s="59">
        <v>435.59999999999945</v>
      </c>
      <c r="C24" s="59">
        <v>47.100000000000023</v>
      </c>
      <c r="D24" s="59">
        <v>372.10000000000036</v>
      </c>
      <c r="E24" s="59">
        <v>723.80000000000109</v>
      </c>
      <c r="F24" s="59">
        <v>16</v>
      </c>
      <c r="G24" s="59">
        <v>124.30000000000018</v>
      </c>
      <c r="H24" s="59">
        <v>645.39999999999964</v>
      </c>
      <c r="I24" s="59">
        <v>141.79999999999995</v>
      </c>
      <c r="J24" s="59">
        <v>1075.1999999999989</v>
      </c>
      <c r="K24" s="59">
        <v>1878.8999999999978</v>
      </c>
      <c r="M24" s="59">
        <f>SUM(Table2[[#This Row],[Servicii de stat cu destinație generală]:[Protecție socială]])-L24</f>
        <v>5460.1999999999971</v>
      </c>
      <c r="N24" s="59">
        <v>5460.2000000000116</v>
      </c>
    </row>
    <row r="25" spans="1:14" x14ac:dyDescent="0.2">
      <c r="A25" s="60">
        <v>43800</v>
      </c>
      <c r="B25" s="59">
        <v>571.6</v>
      </c>
      <c r="C25" s="59">
        <v>128.80000000000001</v>
      </c>
      <c r="D25" s="59">
        <v>621.10000000000036</v>
      </c>
      <c r="E25" s="59">
        <v>1106.7</v>
      </c>
      <c r="F25" s="59">
        <v>26.399999999999977</v>
      </c>
      <c r="G25" s="59">
        <v>209.6</v>
      </c>
      <c r="H25" s="59">
        <v>1335.8</v>
      </c>
      <c r="I25" s="59">
        <v>249.2</v>
      </c>
      <c r="J25" s="59">
        <v>1468.8</v>
      </c>
      <c r="K25" s="59">
        <v>2046.6</v>
      </c>
      <c r="M25" s="59">
        <f>SUM(Table2[[#This Row],[Servicii de stat cu destinație generală]:[Protecție socială]])-L25</f>
        <v>7764.6</v>
      </c>
      <c r="N25" s="59">
        <v>7764.6000000000131</v>
      </c>
    </row>
    <row r="26" spans="1:14" x14ac:dyDescent="0.2">
      <c r="A26" s="60">
        <v>43831</v>
      </c>
      <c r="B26" s="59">
        <v>347.19999999999993</v>
      </c>
      <c r="C26" s="59">
        <v>29</v>
      </c>
      <c r="D26" s="59">
        <v>274.59999999999997</v>
      </c>
      <c r="E26" s="59">
        <v>294.59999999999997</v>
      </c>
      <c r="F26" s="59">
        <v>6.4</v>
      </c>
      <c r="G26" s="59">
        <v>54.2</v>
      </c>
      <c r="H26" s="59">
        <v>487.6</v>
      </c>
      <c r="I26" s="59">
        <v>104.80000000000001</v>
      </c>
      <c r="J26" s="59">
        <v>762.00000000000011</v>
      </c>
      <c r="K26" s="59">
        <v>2396.5</v>
      </c>
      <c r="M26" s="59">
        <f>SUM(Table2[[#This Row],[Servicii de stat cu destinație generală]:[Protecție socială]])-L26</f>
        <v>4756.8999999999996</v>
      </c>
      <c r="N26" s="59">
        <v>4756.8999999999987</v>
      </c>
    </row>
    <row r="27" spans="1:14" x14ac:dyDescent="0.2">
      <c r="A27" s="60">
        <v>43862</v>
      </c>
      <c r="B27" s="59">
        <v>439.8</v>
      </c>
      <c r="C27" s="59">
        <v>40.300000000000011</v>
      </c>
      <c r="D27" s="59">
        <v>336.7000000000001</v>
      </c>
      <c r="E27" s="59">
        <v>443.40000000000003</v>
      </c>
      <c r="F27" s="59">
        <v>13.799999999999999</v>
      </c>
      <c r="G27" s="59">
        <v>78.999999999999986</v>
      </c>
      <c r="H27" s="59">
        <v>685.00000000000011</v>
      </c>
      <c r="I27" s="59">
        <v>134.50000000000003</v>
      </c>
      <c r="J27" s="59">
        <v>1132.4000000000001</v>
      </c>
      <c r="K27" s="59">
        <v>2021.2</v>
      </c>
      <c r="M27" s="59">
        <f>SUM(Table2[[#This Row],[Servicii de stat cu destinație generală]:[Protecție socială]])-L27</f>
        <v>5326.1</v>
      </c>
      <c r="N27" s="59">
        <v>5326.1000000000013</v>
      </c>
    </row>
    <row r="28" spans="1:14" x14ac:dyDescent="0.2">
      <c r="A28" s="60">
        <v>43891</v>
      </c>
      <c r="B28" s="59">
        <v>450</v>
      </c>
      <c r="C28" s="59">
        <v>43.399999999999977</v>
      </c>
      <c r="D28" s="59">
        <v>346</v>
      </c>
      <c r="E28" s="59">
        <v>442.39999999999986</v>
      </c>
      <c r="F28" s="59">
        <v>23.200000000000006</v>
      </c>
      <c r="G28" s="59">
        <v>99.4</v>
      </c>
      <c r="H28" s="59">
        <v>661.19999999999982</v>
      </c>
      <c r="I28" s="59">
        <v>138.39999999999995</v>
      </c>
      <c r="J28" s="59">
        <v>1106.3000000000002</v>
      </c>
      <c r="K28" s="59">
        <v>2031.2</v>
      </c>
      <c r="M28" s="59">
        <f>SUM(Table2[[#This Row],[Servicii de stat cu destinație generală]:[Protecție socială]])-L28</f>
        <v>5341.5</v>
      </c>
      <c r="N28" s="59">
        <v>5341.5</v>
      </c>
    </row>
    <row r="29" spans="1:14" x14ac:dyDescent="0.2">
      <c r="A29" s="60">
        <v>43922</v>
      </c>
      <c r="B29" s="59">
        <v>759.89999999999986</v>
      </c>
      <c r="C29" s="59">
        <v>41.599999999999994</v>
      </c>
      <c r="D29" s="59">
        <v>336.19999999999993</v>
      </c>
      <c r="E29" s="59">
        <v>635.50000000000023</v>
      </c>
      <c r="F29" s="59">
        <v>13.599999999999994</v>
      </c>
      <c r="G29" s="59">
        <v>86.499999999999972</v>
      </c>
      <c r="H29" s="59">
        <v>986.40000000000032</v>
      </c>
      <c r="I29" s="59">
        <v>128.60000000000002</v>
      </c>
      <c r="J29" s="59">
        <v>922.49999999999909</v>
      </c>
      <c r="K29" s="59">
        <v>2088.9</v>
      </c>
      <c r="M29" s="59">
        <f>SUM(Table2[[#This Row],[Servicii de stat cu destinație generală]:[Protecție socială]])-L29</f>
        <v>5999.6999999999989</v>
      </c>
      <c r="N29" s="59">
        <v>5999.7000000000007</v>
      </c>
    </row>
    <row r="30" spans="1:14" x14ac:dyDescent="0.2">
      <c r="A30" s="60">
        <v>43952</v>
      </c>
      <c r="B30" s="59">
        <v>441.39999999999964</v>
      </c>
      <c r="C30" s="59">
        <v>46.600000000000023</v>
      </c>
      <c r="D30" s="59">
        <v>344.29999999999995</v>
      </c>
      <c r="E30" s="59">
        <v>532.19999999999982</v>
      </c>
      <c r="F30" s="59">
        <v>15.700000000000003</v>
      </c>
      <c r="G30" s="59">
        <v>101.30000000000001</v>
      </c>
      <c r="H30" s="59">
        <v>596.29999999999927</v>
      </c>
      <c r="I30" s="59">
        <v>124.10000000000008</v>
      </c>
      <c r="J30" s="59">
        <v>867.09999999999991</v>
      </c>
      <c r="K30" s="59">
        <v>2063.4</v>
      </c>
      <c r="M30" s="59">
        <f>SUM(Table2[[#This Row],[Servicii de stat cu destinație generală]:[Protecție socială]])-L30</f>
        <v>5132.3999999999987</v>
      </c>
      <c r="N30" s="59">
        <v>5132.4000000000015</v>
      </c>
    </row>
    <row r="31" spans="1:14" x14ac:dyDescent="0.2">
      <c r="A31" s="60">
        <v>43983</v>
      </c>
      <c r="B31" s="59">
        <v>442.50000000000045</v>
      </c>
      <c r="C31" s="59">
        <v>44.699999999999989</v>
      </c>
      <c r="D31" s="59">
        <v>369.20000000000005</v>
      </c>
      <c r="E31" s="59">
        <v>549.59999999999991</v>
      </c>
      <c r="F31" s="59">
        <v>18.199999999999989</v>
      </c>
      <c r="G31" s="59">
        <v>164.70000000000005</v>
      </c>
      <c r="H31" s="59">
        <v>676.10000000000036</v>
      </c>
      <c r="I31" s="59">
        <v>142.69999999999982</v>
      </c>
      <c r="J31" s="59">
        <v>1447.800000000002</v>
      </c>
      <c r="K31" s="59">
        <v>2090.7000000000007</v>
      </c>
      <c r="M31" s="59">
        <f>SUM(Table2[[#This Row],[Servicii de stat cu destinație generală]:[Protecție socială]])-L31</f>
        <v>5946.2000000000035</v>
      </c>
      <c r="N31" s="59">
        <v>5946.4000000000015</v>
      </c>
    </row>
    <row r="32" spans="1:14" x14ac:dyDescent="0.2">
      <c r="A32" s="60">
        <v>44013</v>
      </c>
      <c r="B32" s="59">
        <v>487.30000000000018</v>
      </c>
      <c r="C32" s="59">
        <v>53.000000000000028</v>
      </c>
      <c r="D32" s="59">
        <v>382.69999999999982</v>
      </c>
      <c r="E32" s="59">
        <v>736.10000000000036</v>
      </c>
      <c r="F32" s="59">
        <v>19.000000000000014</v>
      </c>
      <c r="G32" s="59">
        <v>143.09999999999991</v>
      </c>
      <c r="H32" s="59">
        <v>942.10000000000082</v>
      </c>
      <c r="I32" s="59">
        <v>144.80000000000018</v>
      </c>
      <c r="J32" s="59">
        <v>915.39999999999691</v>
      </c>
      <c r="K32" s="59">
        <v>2072.2000000000025</v>
      </c>
      <c r="M32" s="59">
        <f>SUM(Table2[[#This Row],[Servicii de stat cu destinație generală]:[Protecție socială]])-L32</f>
        <v>5895.7000000000007</v>
      </c>
      <c r="N32" s="59">
        <v>5895.7000000000007</v>
      </c>
    </row>
    <row r="33" spans="1:14" x14ac:dyDescent="0.2">
      <c r="A33" s="60">
        <v>44044</v>
      </c>
      <c r="B33" s="59">
        <v>427.70000000000027</v>
      </c>
      <c r="C33" s="59">
        <v>47.199999999999989</v>
      </c>
      <c r="D33" s="59">
        <v>394.5</v>
      </c>
      <c r="E33" s="59">
        <v>1034.2999999999993</v>
      </c>
      <c r="F33" s="59">
        <v>15.699999999999989</v>
      </c>
      <c r="G33" s="59">
        <v>113.10000000000002</v>
      </c>
      <c r="H33" s="59">
        <v>875.80000000000018</v>
      </c>
      <c r="I33" s="59">
        <v>105.70000000000005</v>
      </c>
      <c r="J33" s="59">
        <v>476.800000000002</v>
      </c>
      <c r="K33" s="59">
        <v>2060.8000000000002</v>
      </c>
      <c r="M33" s="59">
        <f>SUM(Table2[[#This Row],[Servicii de stat cu destinație generală]:[Protecție socială]])-L33</f>
        <v>5551.6000000000022</v>
      </c>
      <c r="N33" s="59">
        <v>5551.7999999999956</v>
      </c>
    </row>
    <row r="34" spans="1:14" x14ac:dyDescent="0.2">
      <c r="A34" s="60">
        <v>44075</v>
      </c>
      <c r="B34" s="59">
        <v>537.89999999999827</v>
      </c>
      <c r="C34" s="59">
        <v>59</v>
      </c>
      <c r="D34" s="59">
        <v>377.20000000000027</v>
      </c>
      <c r="E34" s="59">
        <v>1050.7000000000007</v>
      </c>
      <c r="F34" s="59">
        <v>19.699999999999989</v>
      </c>
      <c r="G34" s="59">
        <v>157.40000000000009</v>
      </c>
      <c r="H34" s="59">
        <v>834.99999999999909</v>
      </c>
      <c r="I34" s="59">
        <v>130.5</v>
      </c>
      <c r="J34" s="59">
        <v>758.60000000000127</v>
      </c>
      <c r="K34" s="59">
        <v>2097</v>
      </c>
      <c r="M34" s="59">
        <f>SUM(Table2[[#This Row],[Servicii de stat cu destinație generală]:[Protecție socială]])-L34</f>
        <v>6023</v>
      </c>
      <c r="N34" s="59">
        <v>6022.7999999999956</v>
      </c>
    </row>
    <row r="35" spans="1:14" x14ac:dyDescent="0.2">
      <c r="A35" s="60">
        <v>44105</v>
      </c>
      <c r="B35" s="59">
        <v>813.50000000000091</v>
      </c>
      <c r="C35" s="59">
        <v>54.599999999999966</v>
      </c>
      <c r="D35" s="59">
        <v>427.89999999999964</v>
      </c>
      <c r="E35" s="59">
        <v>787.90000000000055</v>
      </c>
      <c r="F35" s="59">
        <v>20.599999999999994</v>
      </c>
      <c r="G35" s="59">
        <v>160.29999999999995</v>
      </c>
      <c r="H35" s="59">
        <v>1109.1999999999998</v>
      </c>
      <c r="I35" s="59">
        <v>142.39999999999964</v>
      </c>
      <c r="J35" s="59">
        <v>1020.7999999999975</v>
      </c>
      <c r="K35" s="59">
        <v>2706.9</v>
      </c>
      <c r="M35" s="59">
        <f>SUM(Table2[[#This Row],[Servicii de stat cu destinație generală]:[Protecție socială]])-L35</f>
        <v>7244.0999999999985</v>
      </c>
      <c r="N35" s="59">
        <v>7244.1000000000058</v>
      </c>
    </row>
    <row r="36" spans="1:14" x14ac:dyDescent="0.2">
      <c r="A36" s="60">
        <v>44136</v>
      </c>
      <c r="B36" s="59">
        <v>626.19999999999982</v>
      </c>
      <c r="C36" s="59">
        <v>57.5</v>
      </c>
      <c r="D36" s="59">
        <v>440.90000000000009</v>
      </c>
      <c r="E36" s="59">
        <v>908.49999999999909</v>
      </c>
      <c r="F36" s="59">
        <v>26.500000000000028</v>
      </c>
      <c r="G36" s="59">
        <v>186.70000000000005</v>
      </c>
      <c r="H36" s="59">
        <v>870.09999999999945</v>
      </c>
      <c r="I36" s="59">
        <v>165.40000000000032</v>
      </c>
      <c r="J36" s="59">
        <v>1099.2000000000025</v>
      </c>
      <c r="K36" s="59">
        <v>2154.6999999999998</v>
      </c>
      <c r="M36" s="59">
        <f>SUM(Table2[[#This Row],[Servicii de stat cu destinație generală]:[Protecție socială]])-L36</f>
        <v>6535.7000000000016</v>
      </c>
      <c r="N36" s="59">
        <v>6535.7999999999811</v>
      </c>
    </row>
    <row r="37" spans="1:14" x14ac:dyDescent="0.2">
      <c r="A37" s="60">
        <v>44166</v>
      </c>
      <c r="B37" s="59">
        <v>817.40000000000055</v>
      </c>
      <c r="C37" s="59">
        <v>133.29999999999995</v>
      </c>
      <c r="D37" s="59">
        <v>740.19999999999982</v>
      </c>
      <c r="E37" s="59">
        <v>1470.3</v>
      </c>
      <c r="F37" s="59">
        <v>61.299999999999983</v>
      </c>
      <c r="G37" s="59">
        <v>434.7</v>
      </c>
      <c r="H37" s="59">
        <v>1265.4000000000001</v>
      </c>
      <c r="I37" s="59">
        <v>271.29999999999995</v>
      </c>
      <c r="J37" s="59">
        <v>2074.1999999999998</v>
      </c>
      <c r="K37" s="59">
        <v>2248.5999999999985</v>
      </c>
      <c r="M37" s="59">
        <f>SUM(Table2[[#This Row],[Servicii de stat cu destinație generală]:[Protecție socială]])-L37</f>
        <v>9516.6999999999989</v>
      </c>
      <c r="N37" s="59">
        <v>9516.6000000000204</v>
      </c>
    </row>
    <row r="38" spans="1:14" x14ac:dyDescent="0.2">
      <c r="A38" s="60">
        <v>44197</v>
      </c>
      <c r="B38" s="59">
        <v>345.49999999999989</v>
      </c>
      <c r="C38" s="59">
        <v>38.300000000000004</v>
      </c>
      <c r="D38" s="59">
        <v>317</v>
      </c>
      <c r="E38" s="59">
        <v>473</v>
      </c>
      <c r="F38" s="59">
        <v>11.299999999999999</v>
      </c>
      <c r="G38" s="59">
        <v>22.9</v>
      </c>
      <c r="H38" s="59">
        <v>971.10000000000014</v>
      </c>
      <c r="I38" s="59">
        <v>98.4</v>
      </c>
      <c r="J38" s="59">
        <v>693.00000000000023</v>
      </c>
      <c r="K38" s="59">
        <v>2248.4</v>
      </c>
      <c r="M38" s="59">
        <f>SUM(Table2[[#This Row],[Servicii de stat cu destinație generală]:[Protecție socială]])-L38</f>
        <v>5218.9000000000015</v>
      </c>
      <c r="N38" s="59">
        <v>5218.8999999999996</v>
      </c>
    </row>
    <row r="39" spans="1:14" x14ac:dyDescent="0.2">
      <c r="A39" s="60">
        <v>44228</v>
      </c>
      <c r="B39" s="59">
        <v>440.9</v>
      </c>
      <c r="C39" s="59">
        <v>44.599999999999987</v>
      </c>
      <c r="D39" s="59">
        <v>356.4</v>
      </c>
      <c r="E39" s="59">
        <v>397.5</v>
      </c>
      <c r="F39" s="59">
        <v>20.5</v>
      </c>
      <c r="G39" s="59">
        <v>94.700000000000017</v>
      </c>
      <c r="H39" s="59">
        <v>932.09999999999991</v>
      </c>
      <c r="I39" s="59">
        <v>131.80000000000001</v>
      </c>
      <c r="J39" s="59">
        <v>1201.2000000000003</v>
      </c>
      <c r="K39" s="59">
        <v>2278.1</v>
      </c>
      <c r="M39" s="59">
        <f>SUM(Table2[[#This Row],[Servicii de stat cu destinație generală]:[Protecție socială]])-L39</f>
        <v>5897.8</v>
      </c>
      <c r="N39" s="59">
        <v>5897.8000000000011</v>
      </c>
    </row>
    <row r="40" spans="1:14" x14ac:dyDescent="0.2">
      <c r="A40" s="60">
        <v>44256</v>
      </c>
      <c r="B40" s="59">
        <v>449.89999999999986</v>
      </c>
      <c r="C40" s="59">
        <v>52.399999999999991</v>
      </c>
      <c r="D40" s="59">
        <v>383.99999999999989</v>
      </c>
      <c r="E40" s="59">
        <v>440.29999999999995</v>
      </c>
      <c r="F40" s="59">
        <v>20.599999999999998</v>
      </c>
      <c r="G40" s="59">
        <v>120.19999999999997</v>
      </c>
      <c r="H40" s="59">
        <v>1111.9999999999998</v>
      </c>
      <c r="I40" s="59">
        <v>137.29999999999998</v>
      </c>
      <c r="J40" s="59">
        <v>1137.1999999999996</v>
      </c>
      <c r="K40" s="59">
        <v>2324.0000000000009</v>
      </c>
      <c r="M40" s="59">
        <f>SUM(Table2[[#This Row],[Servicii de stat cu destinație generală]:[Protecție socială]])-L40</f>
        <v>6177.9000000000005</v>
      </c>
      <c r="N40" s="59">
        <v>6177.8999999999942</v>
      </c>
    </row>
    <row r="41" spans="1:14" x14ac:dyDescent="0.2">
      <c r="A41" s="60">
        <v>44287</v>
      </c>
      <c r="B41" s="59">
        <v>881.80000000000064</v>
      </c>
      <c r="C41" s="59">
        <v>54.200000000000017</v>
      </c>
      <c r="D41" s="59">
        <v>393.40000000000009</v>
      </c>
      <c r="E41" s="59">
        <v>427.30000000000018</v>
      </c>
      <c r="F41" s="59">
        <v>18.399999999999999</v>
      </c>
      <c r="G41" s="59">
        <v>135.20000000000002</v>
      </c>
      <c r="H41" s="59">
        <v>1116.8000000000002</v>
      </c>
      <c r="I41" s="59">
        <v>142.60000000000002</v>
      </c>
      <c r="J41" s="59">
        <v>1112.5999999999999</v>
      </c>
      <c r="K41" s="59">
        <v>3166</v>
      </c>
      <c r="M41" s="59">
        <f>SUM(Table2[[#This Row],[Servicii de stat cu destinație generală]:[Protecție socială]])-L41</f>
        <v>7448.3000000000011</v>
      </c>
      <c r="N41" s="59">
        <v>7448.3000000000065</v>
      </c>
    </row>
    <row r="42" spans="1:14" x14ac:dyDescent="0.2">
      <c r="A42" s="60">
        <v>44317</v>
      </c>
      <c r="B42" s="59">
        <v>529.89999999999964</v>
      </c>
      <c r="C42" s="59">
        <v>63.799999999999983</v>
      </c>
      <c r="D42" s="59">
        <v>423.60000000000014</v>
      </c>
      <c r="E42" s="59">
        <v>468.20000000000005</v>
      </c>
      <c r="F42" s="59">
        <v>19.5</v>
      </c>
      <c r="G42" s="59">
        <v>161.20000000000005</v>
      </c>
      <c r="H42" s="59">
        <v>1281.1999999999998</v>
      </c>
      <c r="I42" s="59">
        <v>140.00000000000011</v>
      </c>
      <c r="J42" s="59">
        <v>1063.1999999999989</v>
      </c>
      <c r="K42" s="59">
        <v>2349.6000000000004</v>
      </c>
      <c r="M42" s="59">
        <f>SUM(Table2[[#This Row],[Servicii de stat cu destinație generală]:[Protecție socială]])-L42</f>
        <v>6500.1999999999989</v>
      </c>
      <c r="N42" s="59">
        <v>6500.200000000008</v>
      </c>
    </row>
    <row r="43" spans="1:14" x14ac:dyDescent="0.2">
      <c r="A43" s="60">
        <v>44348</v>
      </c>
      <c r="B43" s="59">
        <v>527.49999999999955</v>
      </c>
      <c r="C43" s="59">
        <v>58.30000000000004</v>
      </c>
      <c r="D43" s="59">
        <v>405.5</v>
      </c>
      <c r="E43" s="59">
        <v>676.99999999999955</v>
      </c>
      <c r="F43" s="59">
        <v>19.600000000000009</v>
      </c>
      <c r="G43" s="59">
        <v>197.60000000000002</v>
      </c>
      <c r="H43" s="59">
        <v>1130.2000000000007</v>
      </c>
      <c r="I43" s="59">
        <v>153.49999999999989</v>
      </c>
      <c r="J43" s="59">
        <v>1707.800000000002</v>
      </c>
      <c r="K43" s="59">
        <v>2259.8999999999996</v>
      </c>
      <c r="M43" s="59">
        <f>SUM(Table2[[#This Row],[Servicii de stat cu destinație generală]:[Protecție socială]])-L43</f>
        <v>7136.9000000000015</v>
      </c>
      <c r="N43" s="59">
        <v>7136.9999999999964</v>
      </c>
    </row>
    <row r="44" spans="1:14" x14ac:dyDescent="0.2">
      <c r="A44" s="60">
        <v>44378</v>
      </c>
      <c r="B44" s="59">
        <v>593.40000000000009</v>
      </c>
      <c r="C44" s="59">
        <v>56.699999999999989</v>
      </c>
      <c r="D44" s="59">
        <v>424.09999999999991</v>
      </c>
      <c r="E44" s="59">
        <v>468.30000000000018</v>
      </c>
      <c r="F44" s="59">
        <v>18.399999999999977</v>
      </c>
      <c r="G44" s="59">
        <v>168</v>
      </c>
      <c r="H44" s="59">
        <v>1064.5999999999995</v>
      </c>
      <c r="I44" s="59">
        <v>185.19999999999993</v>
      </c>
      <c r="J44" s="59">
        <v>1058.5999999999985</v>
      </c>
      <c r="K44" s="59">
        <v>2274.7000000000007</v>
      </c>
      <c r="M44" s="59">
        <f>SUM(Table2[[#This Row],[Servicii de stat cu destinație generală]:[Protecție socială]])-L44</f>
        <v>6311.9999999999982</v>
      </c>
      <c r="N44" s="59">
        <v>6311.8999999999869</v>
      </c>
    </row>
    <row r="45" spans="1:14" x14ac:dyDescent="0.2">
      <c r="A45" s="60">
        <v>44409</v>
      </c>
      <c r="B45" s="59">
        <v>466.40000000000055</v>
      </c>
      <c r="C45" s="59">
        <v>53.600000000000023</v>
      </c>
      <c r="D45" s="59">
        <v>414.59999999999991</v>
      </c>
      <c r="E45" s="59">
        <v>470.80000000000064</v>
      </c>
      <c r="F45" s="59">
        <v>17.200000000000017</v>
      </c>
      <c r="G45" s="59">
        <v>141.10000000000002</v>
      </c>
      <c r="H45" s="59">
        <v>1011.3999999999978</v>
      </c>
      <c r="I45" s="59">
        <v>101</v>
      </c>
      <c r="J45" s="59">
        <v>519.29999999999836</v>
      </c>
      <c r="K45" s="59">
        <v>2231.3999999999978</v>
      </c>
      <c r="M45" s="59">
        <f>SUM(Table2[[#This Row],[Servicii de stat cu destinație generală]:[Protecție socială]])-L45</f>
        <v>5426.7999999999956</v>
      </c>
      <c r="N45" s="59">
        <v>5426.8000000000175</v>
      </c>
    </row>
    <row r="46" spans="1:14" x14ac:dyDescent="0.2">
      <c r="A46" s="60">
        <v>44440</v>
      </c>
      <c r="B46" s="59">
        <v>477.69999999999891</v>
      </c>
      <c r="C46" s="59">
        <v>75.099999999999966</v>
      </c>
      <c r="D46" s="59">
        <v>406.5</v>
      </c>
      <c r="E46" s="59">
        <v>1004.1999999999989</v>
      </c>
      <c r="F46" s="59">
        <v>19.600000000000023</v>
      </c>
      <c r="G46" s="59">
        <v>166.79999999999995</v>
      </c>
      <c r="H46" s="59">
        <v>1021.9000000000015</v>
      </c>
      <c r="I46" s="59">
        <v>167.5</v>
      </c>
      <c r="J46" s="59">
        <v>770.10000000000218</v>
      </c>
      <c r="K46" s="59">
        <v>2295.3000000000029</v>
      </c>
      <c r="M46" s="59">
        <f>SUM(Table2[[#This Row],[Servicii de stat cu destinație generală]:[Protecție socială]])-L46</f>
        <v>6404.7000000000044</v>
      </c>
      <c r="N46" s="59">
        <v>6404.7000000000044</v>
      </c>
    </row>
    <row r="47" spans="1:14" x14ac:dyDescent="0.2">
      <c r="A47" s="60">
        <v>44470</v>
      </c>
      <c r="B47" s="59">
        <v>741.00000000000091</v>
      </c>
      <c r="C47" s="59">
        <v>56.700000000000045</v>
      </c>
      <c r="D47" s="59">
        <v>428.00000000000045</v>
      </c>
      <c r="E47" s="59">
        <v>859.60000000000127</v>
      </c>
      <c r="F47" s="59">
        <v>25.499999999999972</v>
      </c>
      <c r="G47" s="59">
        <v>197.30000000000018</v>
      </c>
      <c r="H47" s="59">
        <v>1085.4000000000015</v>
      </c>
      <c r="I47" s="59">
        <v>159.40000000000032</v>
      </c>
      <c r="J47" s="59">
        <v>1079.4000000000015</v>
      </c>
      <c r="K47" s="59">
        <v>2513.7999999999956</v>
      </c>
      <c r="M47" s="59">
        <f>SUM(Table2[[#This Row],[Servicii de stat cu destinație generală]:[Protecție socială]])-L47</f>
        <v>7146.1000000000022</v>
      </c>
      <c r="N47" s="59">
        <v>7146.0999999999694</v>
      </c>
    </row>
    <row r="48" spans="1:14" x14ac:dyDescent="0.2">
      <c r="A48" s="60">
        <v>44501</v>
      </c>
      <c r="B48" s="59">
        <v>507</v>
      </c>
      <c r="C48" s="59">
        <v>58.899999999999864</v>
      </c>
      <c r="D48" s="59">
        <v>448.69999999999982</v>
      </c>
      <c r="E48" s="59">
        <v>937.69999999999982</v>
      </c>
      <c r="F48" s="59">
        <v>38.100000000000023</v>
      </c>
      <c r="G48" s="59">
        <v>229.09999999999991</v>
      </c>
      <c r="H48" s="59">
        <v>1242.5999999999985</v>
      </c>
      <c r="I48" s="59">
        <v>185.19999999999982</v>
      </c>
      <c r="J48" s="59">
        <v>1172.4999999999982</v>
      </c>
      <c r="K48" s="59">
        <v>2510.5000000000036</v>
      </c>
      <c r="M48" s="59">
        <f>SUM(Table2[[#This Row],[Servicii de stat cu destinație generală]:[Protecție socială]])-L48</f>
        <v>7330.2999999999993</v>
      </c>
      <c r="N48" s="59">
        <v>7330.3000000000247</v>
      </c>
    </row>
    <row r="49" spans="1:14" x14ac:dyDescent="0.2">
      <c r="A49" s="60">
        <v>44531</v>
      </c>
      <c r="B49" s="59">
        <v>868.30000000000018</v>
      </c>
      <c r="C49" s="59">
        <v>171.00000000000011</v>
      </c>
      <c r="D49" s="59">
        <v>710.5</v>
      </c>
      <c r="E49" s="59">
        <v>1871.2999999999984</v>
      </c>
      <c r="F49" s="59">
        <v>80.69999999999996</v>
      </c>
      <c r="G49" s="59">
        <v>540.29999999999995</v>
      </c>
      <c r="H49" s="59">
        <v>1558.5</v>
      </c>
      <c r="I49" s="59">
        <v>357.19999999999982</v>
      </c>
      <c r="J49" s="59">
        <v>1883.2999999999993</v>
      </c>
      <c r="K49" s="59">
        <v>2973.5999999999985</v>
      </c>
      <c r="M49" s="59">
        <f>SUM(Table2[[#This Row],[Servicii de stat cu destinație generală]:[Protecție socială]])-L49</f>
        <v>11014.699999999997</v>
      </c>
      <c r="N49" s="59">
        <v>11013.600000000006</v>
      </c>
    </row>
    <row r="50" spans="1:14" x14ac:dyDescent="0.2">
      <c r="A50" s="63">
        <v>44562</v>
      </c>
      <c r="B50" s="64">
        <v>256.60000000000002</v>
      </c>
      <c r="C50" s="64">
        <v>43.300000000000004</v>
      </c>
      <c r="D50" s="64">
        <v>375.2</v>
      </c>
      <c r="E50" s="64">
        <v>159.9</v>
      </c>
      <c r="F50" s="64">
        <v>13</v>
      </c>
      <c r="G50" s="64">
        <v>36.200000000000003</v>
      </c>
      <c r="H50" s="64">
        <v>983.1</v>
      </c>
      <c r="I50" s="64">
        <v>100.3</v>
      </c>
      <c r="J50" s="64">
        <v>807.3</v>
      </c>
      <c r="K50" s="64">
        <v>3315.1000000000004</v>
      </c>
      <c r="L50" s="64"/>
      <c r="M50" s="64">
        <f>SUM(Table2[[#This Row],[Servicii de stat cu destinație generală]:[Protecție socială]])-L50</f>
        <v>6090</v>
      </c>
      <c r="N50" s="64">
        <v>6090.0000000000009</v>
      </c>
    </row>
    <row r="51" spans="1:14" x14ac:dyDescent="0.2">
      <c r="A51" s="60">
        <v>44593</v>
      </c>
      <c r="B51" s="59">
        <v>768.9</v>
      </c>
      <c r="C51" s="59">
        <v>46.9</v>
      </c>
      <c r="D51" s="59">
        <v>374.59999999999997</v>
      </c>
      <c r="E51" s="59">
        <v>531.70000000000005</v>
      </c>
      <c r="F51" s="59">
        <v>19.5</v>
      </c>
      <c r="G51" s="59">
        <v>134.39999999999998</v>
      </c>
      <c r="H51" s="59">
        <v>1009.6999999999999</v>
      </c>
      <c r="I51" s="59">
        <v>143.89999999999998</v>
      </c>
      <c r="J51" s="59">
        <v>1328.5000000000002</v>
      </c>
      <c r="K51" s="59">
        <v>2819.4000000000005</v>
      </c>
      <c r="M51" s="59">
        <f>SUM(Table2[[#This Row],[Servicii de stat cu destinație generală]:[Protecție socială]])-L51</f>
        <v>7177.5000000000009</v>
      </c>
      <c r="N51" s="59">
        <v>7177.4999999999991</v>
      </c>
    </row>
    <row r="52" spans="1:14" x14ac:dyDescent="0.2">
      <c r="A52" s="60">
        <v>44621</v>
      </c>
      <c r="B52" s="59">
        <v>766.7</v>
      </c>
      <c r="C52" s="59">
        <v>60.499999999999986</v>
      </c>
      <c r="D52" s="59">
        <v>510.79999999999995</v>
      </c>
      <c r="E52" s="59">
        <v>887.80000000000007</v>
      </c>
      <c r="F52" s="59">
        <v>46.099999999999994</v>
      </c>
      <c r="G52" s="59">
        <v>190.6</v>
      </c>
      <c r="H52" s="59">
        <v>1181.7999999999995</v>
      </c>
      <c r="I52" s="59">
        <v>199.40000000000006</v>
      </c>
      <c r="J52" s="59">
        <v>1325.4999999999995</v>
      </c>
      <c r="K52" s="59">
        <v>2844.9000000000024</v>
      </c>
      <c r="M52" s="59">
        <f>SUM(Table2[[#This Row],[Servicii de stat cu destinație generală]:[Protecție socială]])-L52</f>
        <v>8014.1000000000013</v>
      </c>
      <c r="N52" s="59">
        <v>8014.0999999999985</v>
      </c>
    </row>
    <row r="53" spans="1:14" x14ac:dyDescent="0.2">
      <c r="A53" s="60">
        <v>44652</v>
      </c>
      <c r="B53" s="59">
        <v>916.09999999999968</v>
      </c>
      <c r="C53" s="59">
        <v>61.700000000000017</v>
      </c>
      <c r="D53" s="59">
        <v>454.00000000000023</v>
      </c>
      <c r="E53" s="59">
        <v>474.39999999999964</v>
      </c>
      <c r="F53" s="59">
        <v>36.299999999999997</v>
      </c>
      <c r="G53" s="59">
        <v>195.8</v>
      </c>
      <c r="H53" s="59">
        <v>1103.1000000000004</v>
      </c>
      <c r="I53" s="59">
        <v>155.30000000000007</v>
      </c>
      <c r="J53" s="59">
        <v>1320.1000000000008</v>
      </c>
      <c r="K53" s="59">
        <v>3506.3000000000011</v>
      </c>
      <c r="M53" s="59">
        <f>SUM(Table2[[#This Row],[Servicii de stat cu destinație generală]:[Protecție socială]])-L53</f>
        <v>8223.1000000000022</v>
      </c>
      <c r="N53" s="59">
        <v>8223.1000000000058</v>
      </c>
    </row>
    <row r="54" spans="1:14" x14ac:dyDescent="0.2">
      <c r="A54" s="60">
        <v>44682</v>
      </c>
      <c r="B54" s="59">
        <v>680.09999999999991</v>
      </c>
      <c r="C54" s="59">
        <v>51.30000000000004</v>
      </c>
      <c r="D54" s="59">
        <v>420.2999999999995</v>
      </c>
      <c r="E54" s="59">
        <v>658.60000000000036</v>
      </c>
      <c r="F54" s="59">
        <v>21.799999999999997</v>
      </c>
      <c r="G54" s="59">
        <v>197</v>
      </c>
      <c r="H54" s="59">
        <v>1030.3000000000011</v>
      </c>
      <c r="I54" s="59">
        <v>170.69999999999993</v>
      </c>
      <c r="J54" s="59">
        <v>1149.2999999999993</v>
      </c>
      <c r="K54" s="59">
        <v>2943.5999999999967</v>
      </c>
      <c r="M54" s="59">
        <f>SUM(Table2[[#This Row],[Servicii de stat cu destinație generală]:[Protecție socială]])-L54</f>
        <v>7322.9999999999964</v>
      </c>
      <c r="N54" s="59">
        <v>7323</v>
      </c>
    </row>
    <row r="55" spans="1:14" x14ac:dyDescent="0.2">
      <c r="A55" s="60">
        <v>44713</v>
      </c>
      <c r="B55" s="59">
        <v>561.5</v>
      </c>
      <c r="C55" s="59">
        <v>51.399999999999977</v>
      </c>
      <c r="D55" s="59">
        <v>464.20000000000073</v>
      </c>
      <c r="E55" s="59">
        <v>861.99999999999955</v>
      </c>
      <c r="F55" s="59">
        <v>26.000000000000028</v>
      </c>
      <c r="G55" s="59">
        <v>226.10000000000014</v>
      </c>
      <c r="H55" s="59">
        <v>1102.6999999999989</v>
      </c>
      <c r="I55" s="59">
        <v>208.79999999999995</v>
      </c>
      <c r="J55" s="59">
        <v>1850.3000000000002</v>
      </c>
      <c r="K55" s="59">
        <v>2949.6999999999989</v>
      </c>
      <c r="M55" s="59">
        <f>SUM(Table2[[#This Row],[Servicii de stat cu destinație generală]:[Protecție socială]])-L55</f>
        <v>8302.6999999999989</v>
      </c>
      <c r="N55" s="59">
        <v>8302.6999999999898</v>
      </c>
    </row>
    <row r="56" spans="1:14" x14ac:dyDescent="0.2">
      <c r="A56" s="60">
        <v>44743</v>
      </c>
      <c r="B56" s="59">
        <v>590.70000000000073</v>
      </c>
      <c r="C56" s="59">
        <v>59.299999999999955</v>
      </c>
      <c r="D56" s="59">
        <v>461.29999999999973</v>
      </c>
      <c r="E56" s="59">
        <v>821.5</v>
      </c>
      <c r="F56" s="59">
        <v>26.699999999999989</v>
      </c>
      <c r="G56" s="59">
        <v>197.59999999999991</v>
      </c>
      <c r="H56" s="59">
        <v>1119.4999999999991</v>
      </c>
      <c r="I56" s="59">
        <v>173.19999999999993</v>
      </c>
      <c r="J56" s="59">
        <v>1127.8999999999996</v>
      </c>
      <c r="K56" s="59">
        <v>2950.5999999999949</v>
      </c>
      <c r="M56" s="59">
        <f>SUM(Table2[[#This Row],[Servicii de stat cu destinație generală]:[Protecție socială]])-L56</f>
        <v>7528.2999999999938</v>
      </c>
      <c r="N56" s="59">
        <v>7528.3000000000247</v>
      </c>
    </row>
    <row r="57" spans="1:14" x14ac:dyDescent="0.2">
      <c r="A57" s="60">
        <v>44774</v>
      </c>
      <c r="B57" s="59">
        <v>749.49999999999909</v>
      </c>
      <c r="C57" s="59">
        <v>60.600000000000023</v>
      </c>
      <c r="D57" s="59">
        <v>483.89999999999964</v>
      </c>
      <c r="E57" s="59">
        <v>929.19999999999982</v>
      </c>
      <c r="F57" s="59">
        <v>22.799999999999983</v>
      </c>
      <c r="G57" s="59">
        <v>188.40000000000009</v>
      </c>
      <c r="H57" s="59">
        <v>1060.5000000000018</v>
      </c>
      <c r="I57" s="59">
        <v>146.29999999999995</v>
      </c>
      <c r="J57" s="59">
        <v>643.10000000000036</v>
      </c>
      <c r="K57" s="59">
        <v>2907.6000000000095</v>
      </c>
      <c r="M57" s="59">
        <f>SUM(Table2[[#This Row],[Servicii de stat cu destinație generală]:[Protecție socială]])-L57</f>
        <v>7191.9000000000106</v>
      </c>
      <c r="N57" s="59">
        <v>7191.8999999999796</v>
      </c>
    </row>
    <row r="58" spans="1:14" x14ac:dyDescent="0.2">
      <c r="A58" s="60">
        <v>44805</v>
      </c>
      <c r="B58" s="59">
        <v>580.29999999999927</v>
      </c>
      <c r="C58" s="59">
        <v>66.199999999999989</v>
      </c>
      <c r="D58" s="59">
        <v>459.80000000000018</v>
      </c>
      <c r="E58" s="59">
        <v>1191.3000000000011</v>
      </c>
      <c r="F58" s="59">
        <v>34.099999999999994</v>
      </c>
      <c r="G58" s="59">
        <v>243.09999999999991</v>
      </c>
      <c r="H58" s="59">
        <v>1086.3000000000011</v>
      </c>
      <c r="I58" s="59">
        <v>200.70000000000005</v>
      </c>
      <c r="J58" s="59">
        <v>832.20000000000073</v>
      </c>
      <c r="K58" s="59">
        <v>2940.6999999999935</v>
      </c>
      <c r="M58" s="59">
        <f>SUM(Table2[[#This Row],[Servicii de stat cu destinație generală]:[Protecție socială]])-L58</f>
        <v>7634.6999999999953</v>
      </c>
      <c r="N58" s="59">
        <v>7634.7000000000044</v>
      </c>
    </row>
    <row r="59" spans="1:14" x14ac:dyDescent="0.2">
      <c r="A59" s="60">
        <v>44835</v>
      </c>
      <c r="B59" s="59">
        <v>1012.300000000002</v>
      </c>
      <c r="C59" s="59">
        <v>63.300000000000011</v>
      </c>
      <c r="D59" s="59">
        <v>436.50000000000045</v>
      </c>
      <c r="E59" s="59">
        <v>861.10000000000036</v>
      </c>
      <c r="F59" s="59">
        <v>27.700000000000017</v>
      </c>
      <c r="G59" s="59">
        <v>246</v>
      </c>
      <c r="H59" s="59">
        <v>1198.7999999999993</v>
      </c>
      <c r="I59" s="59">
        <v>193.79999999999995</v>
      </c>
      <c r="J59" s="59">
        <v>1239.2999999999975</v>
      </c>
      <c r="K59" s="59">
        <v>3977.4000000000015</v>
      </c>
      <c r="M59" s="59">
        <f>SUM(Table2[[#This Row],[Servicii de stat cu destinație generală]:[Protecție socială]])-L59</f>
        <v>9256.2000000000007</v>
      </c>
      <c r="N59" s="59">
        <v>9256.1999999999971</v>
      </c>
    </row>
    <row r="60" spans="1:14" x14ac:dyDescent="0.2">
      <c r="A60" s="60">
        <v>44866</v>
      </c>
      <c r="B60" s="59">
        <v>1261.2999999999993</v>
      </c>
      <c r="C60" s="59">
        <v>131.39999999999998</v>
      </c>
      <c r="D60" s="59">
        <v>522.49999999999909</v>
      </c>
      <c r="E60" s="59">
        <v>1136.6999999999998</v>
      </c>
      <c r="F60" s="59">
        <v>38.699999999999989</v>
      </c>
      <c r="G60" s="59">
        <v>362.09999999999968</v>
      </c>
      <c r="H60" s="59">
        <v>1283.8999999999996</v>
      </c>
      <c r="I60" s="59">
        <v>234</v>
      </c>
      <c r="J60" s="59">
        <v>1571.5000000000018</v>
      </c>
      <c r="K60" s="59">
        <v>3232.4999999999964</v>
      </c>
      <c r="M60" s="59">
        <f>SUM(Table2[[#This Row],[Servicii de stat cu destinație generală]:[Protecție socială]])-L60</f>
        <v>9774.5999999999949</v>
      </c>
      <c r="N60" s="59">
        <v>9774.5999999999913</v>
      </c>
    </row>
    <row r="61" spans="1:14" s="66" customFormat="1" x14ac:dyDescent="0.2">
      <c r="A61" s="65">
        <v>44896</v>
      </c>
      <c r="B61" s="59">
        <v>89.300000000001091</v>
      </c>
      <c r="C61" s="59">
        <v>199.39999999999998</v>
      </c>
      <c r="D61" s="59">
        <v>1311</v>
      </c>
      <c r="E61" s="59">
        <v>2368.2999999999975</v>
      </c>
      <c r="F61" s="59">
        <v>58.100000000000023</v>
      </c>
      <c r="G61" s="59">
        <v>671.80000000000018</v>
      </c>
      <c r="H61" s="59">
        <v>1496.0999999999985</v>
      </c>
      <c r="I61" s="59">
        <v>402.00000000000023</v>
      </c>
      <c r="J61" s="59">
        <v>2662.8999999999978</v>
      </c>
      <c r="K61" s="59">
        <v>4600.6000000000131</v>
      </c>
      <c r="L61" s="59">
        <v>1.4</v>
      </c>
      <c r="M61" s="59">
        <f>SUM(Table2[[#This Row],[Servicii de stat cu destinație generală]:[Protecție socială]])-L61</f>
        <v>13858.100000000008</v>
      </c>
      <c r="N61" s="59">
        <v>13858.10000000002</v>
      </c>
    </row>
    <row r="62" spans="1:14" x14ac:dyDescent="0.2">
      <c r="A62" s="63">
        <v>44927</v>
      </c>
      <c r="B62" s="64">
        <v>579.49999999999989</v>
      </c>
      <c r="C62" s="64">
        <v>45.699999999999996</v>
      </c>
      <c r="D62" s="64">
        <v>361</v>
      </c>
      <c r="E62" s="64">
        <v>291.89999999999998</v>
      </c>
      <c r="F62" s="64">
        <v>12.799999999999999</v>
      </c>
      <c r="G62" s="64">
        <v>94.4</v>
      </c>
      <c r="H62" s="64">
        <v>1062.5</v>
      </c>
      <c r="I62" s="64">
        <v>150.19999999999999</v>
      </c>
      <c r="J62" s="64">
        <v>880.1</v>
      </c>
      <c r="K62" s="64">
        <v>3863.4999999999995</v>
      </c>
      <c r="L62" s="64"/>
      <c r="M62" s="64">
        <f>SUM(Table2[[#This Row],[Servicii de stat cu destinație generală]:[Protecție socială]])-L62</f>
        <v>7341.5999999999995</v>
      </c>
      <c r="N62" s="64">
        <v>7341.6000000000022</v>
      </c>
    </row>
    <row r="63" spans="1:14" x14ac:dyDescent="0.2">
      <c r="A63" s="60">
        <v>44958</v>
      </c>
      <c r="B63" s="59">
        <v>711.4</v>
      </c>
      <c r="C63" s="59">
        <v>65.5</v>
      </c>
      <c r="D63" s="59">
        <v>443.1</v>
      </c>
      <c r="E63" s="59">
        <v>508.19999999999993</v>
      </c>
      <c r="F63" s="59">
        <v>23.1</v>
      </c>
      <c r="G63" s="59">
        <v>207.30000000000004</v>
      </c>
      <c r="H63" s="59">
        <v>1146.0999999999999</v>
      </c>
      <c r="I63" s="59">
        <v>207.5</v>
      </c>
      <c r="J63" s="59">
        <v>1727.0000000000005</v>
      </c>
      <c r="K63" s="59">
        <v>3908.8999999999992</v>
      </c>
      <c r="L63" s="59">
        <v>0.8</v>
      </c>
      <c r="M63" s="59">
        <f>SUM(Table2[[#This Row],[Servicii de stat cu destinație generală]:[Protecție socială]])-L63</f>
        <v>8947.3000000000011</v>
      </c>
      <c r="N63" s="59">
        <v>8947.2999999999938</v>
      </c>
    </row>
    <row r="64" spans="1:14" x14ac:dyDescent="0.2">
      <c r="A64" s="60">
        <v>44986</v>
      </c>
      <c r="B64" s="59">
        <v>675.60000000000014</v>
      </c>
      <c r="C64" s="59">
        <v>75.600000000000009</v>
      </c>
      <c r="D64" s="59">
        <v>495.5999999999998</v>
      </c>
      <c r="E64" s="59">
        <v>731.90000000000009</v>
      </c>
      <c r="F64" s="59">
        <v>48.4</v>
      </c>
      <c r="G64" s="59">
        <v>274.29999999999995</v>
      </c>
      <c r="H64" s="59">
        <v>1319.4000000000005</v>
      </c>
      <c r="I64" s="59">
        <v>226.40000000000003</v>
      </c>
      <c r="J64" s="59">
        <v>1656.1000000000004</v>
      </c>
      <c r="K64" s="59">
        <v>4147.2000000000016</v>
      </c>
      <c r="M64" s="59">
        <f>SUM(Table2[[#This Row],[Servicii de stat cu destinație generală]:[Protecție socială]])-L64</f>
        <v>9650.5000000000036</v>
      </c>
      <c r="N64" s="59">
        <v>9650.5000000000018</v>
      </c>
    </row>
    <row r="65" spans="1:14" x14ac:dyDescent="0.2">
      <c r="A65" s="60">
        <v>45017</v>
      </c>
      <c r="B65" s="59">
        <v>1021.0999999999995</v>
      </c>
      <c r="C65" s="59">
        <v>79.899999999999977</v>
      </c>
      <c r="D65" s="59">
        <v>576.60000000000014</v>
      </c>
      <c r="E65" s="59">
        <v>793</v>
      </c>
      <c r="F65" s="59">
        <v>32.200000000000003</v>
      </c>
      <c r="G65" s="59">
        <v>231.70000000000005</v>
      </c>
      <c r="H65" s="59">
        <v>1182.4999999999995</v>
      </c>
      <c r="I65" s="59">
        <v>211.20000000000005</v>
      </c>
      <c r="J65" s="59">
        <v>1494.2999999999993</v>
      </c>
      <c r="K65" s="59">
        <v>4408.9000000000015</v>
      </c>
      <c r="M65" s="59">
        <f>SUM(Table2[[#This Row],[Servicii de stat cu destinație generală]:[Protecție socială]])-L65</f>
        <v>10031.4</v>
      </c>
      <c r="N65" s="59">
        <v>10031.400000000005</v>
      </c>
    </row>
    <row r="66" spans="1:14" x14ac:dyDescent="0.2">
      <c r="A66" s="60">
        <v>45047</v>
      </c>
      <c r="B66" s="59">
        <v>1059.2000000000007</v>
      </c>
      <c r="C66" s="59">
        <v>71.500000000000057</v>
      </c>
      <c r="D66" s="59">
        <v>526.20000000000005</v>
      </c>
      <c r="E66" s="59">
        <v>635.29999999999973</v>
      </c>
      <c r="F66" s="59">
        <v>29.699999999999989</v>
      </c>
      <c r="G66" s="59">
        <v>337.09999999999991</v>
      </c>
      <c r="H66" s="59">
        <v>1215.9000000000005</v>
      </c>
      <c r="I66" s="59">
        <v>223</v>
      </c>
      <c r="J66" s="59">
        <v>1401.3999999999996</v>
      </c>
      <c r="K66" s="59">
        <v>3605.5999999999967</v>
      </c>
      <c r="M66" s="59">
        <f>SUM(Table2[[#This Row],[Servicii de stat cu destinație generală]:[Protecție socială]])-L66</f>
        <v>9104.8999999999978</v>
      </c>
      <c r="N66" s="59">
        <v>9104.9000000000015</v>
      </c>
    </row>
    <row r="67" spans="1:14" x14ac:dyDescent="0.2">
      <c r="A67" s="60">
        <v>45078</v>
      </c>
      <c r="B67" s="59">
        <v>820.80000000000018</v>
      </c>
      <c r="C67" s="59">
        <v>52.699999999999932</v>
      </c>
      <c r="D67" s="59">
        <v>443.5</v>
      </c>
      <c r="E67" s="59">
        <v>699.90000000000009</v>
      </c>
      <c r="F67" s="59">
        <v>18.700000000000017</v>
      </c>
      <c r="G67" s="59">
        <v>248.10000000000014</v>
      </c>
      <c r="H67" s="59">
        <v>1149.6000000000004</v>
      </c>
      <c r="I67" s="59">
        <v>218.79999999999984</v>
      </c>
      <c r="J67" s="59">
        <v>2123.1999999999989</v>
      </c>
      <c r="K67" s="59">
        <v>3375.6000000000022</v>
      </c>
      <c r="M67" s="59">
        <f>SUM(Table2[[#This Row],[Servicii de stat cu destinație generală]:[Protecție socială]])-L67</f>
        <v>9150.9000000000015</v>
      </c>
      <c r="N67" s="59">
        <v>9150.9000000000087</v>
      </c>
    </row>
    <row r="68" spans="1:14" x14ac:dyDescent="0.2">
      <c r="A68" s="60">
        <v>45108</v>
      </c>
      <c r="B68" s="59">
        <v>835</v>
      </c>
      <c r="C68" s="59">
        <v>243.29999999999995</v>
      </c>
      <c r="D68" s="59">
        <v>577.80000000000018</v>
      </c>
      <c r="E68" s="59">
        <v>1380.8000000000002</v>
      </c>
      <c r="F68" s="59">
        <v>43.599999999999994</v>
      </c>
      <c r="G68" s="59">
        <v>436.29999999999973</v>
      </c>
      <c r="H68" s="59">
        <v>1243.1999999999998</v>
      </c>
      <c r="I68" s="59">
        <v>291.90000000000009</v>
      </c>
      <c r="J68" s="59">
        <v>1409</v>
      </c>
      <c r="K68" s="59">
        <v>3525.0000000000036</v>
      </c>
      <c r="M68" s="59">
        <f>SUM(Table2[[#This Row],[Servicii de stat cu destinație generală]:[Protecție socială]])-L68</f>
        <v>9985.9000000000033</v>
      </c>
      <c r="N68" s="59">
        <v>9985.8999999999942</v>
      </c>
    </row>
    <row r="69" spans="1:14" x14ac:dyDescent="0.2">
      <c r="A69" s="60">
        <v>45139</v>
      </c>
      <c r="B69" s="59">
        <v>1000.6999999999989</v>
      </c>
      <c r="C69" s="59">
        <v>422.00000000000011</v>
      </c>
      <c r="D69" s="59">
        <v>560.89999999999964</v>
      </c>
      <c r="E69" s="59">
        <v>976.40000000000055</v>
      </c>
      <c r="F69" s="59">
        <v>31.300000000000011</v>
      </c>
      <c r="G69" s="59">
        <v>299.79999999999973</v>
      </c>
      <c r="H69" s="59">
        <v>1359.5</v>
      </c>
      <c r="I69" s="59">
        <v>196.90000000000009</v>
      </c>
      <c r="J69" s="59">
        <v>776</v>
      </c>
      <c r="K69" s="59">
        <v>3561.0999999999985</v>
      </c>
      <c r="L69" s="59">
        <v>0.7</v>
      </c>
      <c r="M69" s="59">
        <f>SUM(Table2[[#This Row],[Servicii de stat cu destinație generală]:[Protecție socială]])-L69</f>
        <v>9183.899999999996</v>
      </c>
      <c r="N69" s="59">
        <v>9183.9000000000015</v>
      </c>
    </row>
    <row r="70" spans="1:14" x14ac:dyDescent="0.2">
      <c r="A70" s="60">
        <v>45170</v>
      </c>
      <c r="B70" s="59">
        <v>662.69999999999982</v>
      </c>
      <c r="C70" s="59">
        <v>72.600000000000136</v>
      </c>
      <c r="D70" s="59">
        <v>515.70000000000073</v>
      </c>
      <c r="E70" s="59">
        <v>1023.2999999999993</v>
      </c>
      <c r="F70" s="59">
        <v>28.699999999999989</v>
      </c>
      <c r="G70" s="59">
        <v>324.50000000000045</v>
      </c>
      <c r="H70" s="59">
        <v>1448.0999999999985</v>
      </c>
      <c r="I70" s="59">
        <v>237.60000000000014</v>
      </c>
      <c r="J70" s="59">
        <v>1021</v>
      </c>
      <c r="K70" s="59">
        <v>3384.0999999999913</v>
      </c>
      <c r="L70" s="59">
        <v>0.10000000000000009</v>
      </c>
      <c r="M70" s="59">
        <f>SUM(Table2[[#This Row],[Servicii de stat cu destinație generală]:[Protecție socială]])-L70</f>
        <v>8718.1999999999898</v>
      </c>
      <c r="N70" s="59">
        <v>8718.1999999999825</v>
      </c>
    </row>
    <row r="71" spans="1:14" x14ac:dyDescent="0.2">
      <c r="A71" s="60">
        <v>45200</v>
      </c>
      <c r="B71" s="59">
        <v>1197.8000000000002</v>
      </c>
      <c r="C71" s="59">
        <v>71.399999999999636</v>
      </c>
      <c r="D71" s="59">
        <v>525.89999999999964</v>
      </c>
      <c r="E71" s="59">
        <v>1170.1000000000013</v>
      </c>
      <c r="F71" s="59">
        <v>28.800000000000011</v>
      </c>
      <c r="G71" s="59">
        <v>344.80000000000018</v>
      </c>
      <c r="H71" s="59">
        <v>1300.1999999999971</v>
      </c>
      <c r="I71" s="59">
        <v>226.20000000000005</v>
      </c>
      <c r="J71" s="59">
        <v>1431.4000000000033</v>
      </c>
      <c r="K71" s="59">
        <v>3488.0000000000073</v>
      </c>
      <c r="L71" s="59">
        <v>9.9999999999999867E-2</v>
      </c>
      <c r="M71" s="59">
        <f>SUM(Table2[[#This Row],[Servicii de stat cu destinație generală]:[Protecție socială]])-L71</f>
        <v>9784.5000000000091</v>
      </c>
      <c r="N71" s="59">
        <v>9784.5000000000146</v>
      </c>
    </row>
    <row r="72" spans="1:14" x14ac:dyDescent="0.2">
      <c r="A72" s="60">
        <v>45231</v>
      </c>
      <c r="B72" s="59">
        <v>1418</v>
      </c>
      <c r="C72" s="59">
        <v>81.200000000000273</v>
      </c>
      <c r="D72" s="59">
        <v>670.39999999999964</v>
      </c>
      <c r="E72" s="59">
        <v>1319.8999999999978</v>
      </c>
      <c r="F72" s="59">
        <v>34.099999999999966</v>
      </c>
      <c r="G72" s="59">
        <v>318</v>
      </c>
      <c r="H72" s="59">
        <v>1778.7000000000025</v>
      </c>
      <c r="I72" s="59">
        <v>246.79999999999973</v>
      </c>
      <c r="J72" s="59">
        <v>1667.2000000000007</v>
      </c>
      <c r="K72" s="59">
        <v>3449.0999999999985</v>
      </c>
      <c r="L72" s="59">
        <v>2.3999999999999995</v>
      </c>
      <c r="M72" s="59">
        <f>SUM(Table2[[#This Row],[Servicii de stat cu destinație generală]:[Protecție socială]])-L72</f>
        <v>10981</v>
      </c>
      <c r="N72" s="59">
        <v>10980.999999999985</v>
      </c>
    </row>
    <row r="73" spans="1:14" x14ac:dyDescent="0.2">
      <c r="A73" s="60">
        <v>45261</v>
      </c>
      <c r="B73" s="59">
        <v>1519.7000000000007</v>
      </c>
      <c r="C73" s="59">
        <v>248.99999999999977</v>
      </c>
      <c r="D73" s="59">
        <v>1014.3999999999996</v>
      </c>
      <c r="E73" s="59">
        <v>1734.1000000000004</v>
      </c>
      <c r="F73" s="59">
        <v>82.100000000000023</v>
      </c>
      <c r="G73" s="59">
        <v>640.69999999999936</v>
      </c>
      <c r="H73" s="59">
        <v>1738.4000000000033</v>
      </c>
      <c r="I73" s="59">
        <v>541.60000000000036</v>
      </c>
      <c r="J73" s="59">
        <v>3197.6999999999916</v>
      </c>
      <c r="K73" s="59">
        <v>4273.3000000000029</v>
      </c>
      <c r="M73" s="59">
        <f>SUM(Table2[[#This Row],[Servicii de stat cu destinație generală]:[Protecție socială]])-L73</f>
        <v>14990.999999999998</v>
      </c>
      <c r="N73" s="67">
        <v>14991.040000000023</v>
      </c>
    </row>
    <row r="74" spans="1:14" x14ac:dyDescent="0.2">
      <c r="A74" s="63">
        <v>45292</v>
      </c>
      <c r="B74" s="64">
        <v>667.1</v>
      </c>
      <c r="C74" s="64">
        <v>54.599999999999994</v>
      </c>
      <c r="D74" s="64">
        <v>445.7</v>
      </c>
      <c r="E74" s="64">
        <v>387.2</v>
      </c>
      <c r="F74" s="64">
        <v>17.899999999999999</v>
      </c>
      <c r="G74" s="64">
        <v>73.399999999999991</v>
      </c>
      <c r="H74" s="64">
        <v>1088.8999999999999</v>
      </c>
      <c r="I74" s="64">
        <v>152</v>
      </c>
      <c r="J74" s="64">
        <v>999.30000000000007</v>
      </c>
      <c r="K74" s="64">
        <v>3784.2</v>
      </c>
      <c r="L74" s="64"/>
      <c r="M74" s="64">
        <f>SUM(Table2[[#This Row],[Servicii de stat cu destinație generală]:[Protecție socială]])-L74</f>
        <v>7670.3</v>
      </c>
      <c r="N74" s="64">
        <v>7670.2999999999993</v>
      </c>
    </row>
    <row r="75" spans="1:14" x14ac:dyDescent="0.2">
      <c r="A75" s="60">
        <v>45323</v>
      </c>
      <c r="B75" s="59">
        <v>832.4</v>
      </c>
      <c r="C75" s="59">
        <v>67.099999999999994</v>
      </c>
      <c r="D75" s="59">
        <v>536.29999999999995</v>
      </c>
      <c r="E75" s="59">
        <v>1102.0999999999999</v>
      </c>
      <c r="F75" s="59">
        <v>15.700000000000003</v>
      </c>
      <c r="G75" s="59">
        <v>149.10000000000002</v>
      </c>
      <c r="H75" s="59">
        <v>1476.3999999999999</v>
      </c>
      <c r="I75" s="59">
        <v>239.29999999999995</v>
      </c>
      <c r="J75" s="59">
        <v>1775.4000000000005</v>
      </c>
      <c r="K75" s="59">
        <v>4088.8999999999996</v>
      </c>
      <c r="L75" s="59">
        <v>0.6</v>
      </c>
      <c r="M75" s="59">
        <f>SUM(Table2[[#This Row],[Servicii de stat cu destinație generală]:[Protecție socială]])-L75</f>
        <v>10282.1</v>
      </c>
      <c r="N75" s="59">
        <v>10282.100000000002</v>
      </c>
    </row>
    <row r="76" spans="1:14" x14ac:dyDescent="0.2">
      <c r="A76" s="60">
        <v>45352</v>
      </c>
      <c r="B76" s="59">
        <v>630.79999999999973</v>
      </c>
      <c r="C76" s="59">
        <v>72.199999999999989</v>
      </c>
      <c r="D76" s="59">
        <v>569.70000000000005</v>
      </c>
      <c r="E76" s="59">
        <v>716.09999999999968</v>
      </c>
      <c r="F76" s="59">
        <v>34.9</v>
      </c>
      <c r="G76" s="59">
        <v>245.4</v>
      </c>
      <c r="H76" s="59">
        <v>1665.6</v>
      </c>
      <c r="I76" s="59">
        <v>289.20000000000005</v>
      </c>
      <c r="J76" s="59">
        <v>1677.7999999999993</v>
      </c>
      <c r="K76" s="59">
        <v>3833.9000000000024</v>
      </c>
      <c r="M76" s="59">
        <f>SUM(Table2[[#This Row],[Servicii de stat cu destinație generală]:[Protecție socială]])-L76</f>
        <v>9735.6000000000022</v>
      </c>
      <c r="N76" s="59">
        <v>9735.5999999999949</v>
      </c>
    </row>
    <row r="77" spans="1:14" x14ac:dyDescent="0.2">
      <c r="A77" s="60">
        <v>45383</v>
      </c>
      <c r="B77" s="59">
        <v>1052.7000000000003</v>
      </c>
      <c r="C77" s="59">
        <v>74.300000000000011</v>
      </c>
      <c r="D77" s="59">
        <v>551.39999999999986</v>
      </c>
      <c r="E77" s="59">
        <v>722.30000000000018</v>
      </c>
      <c r="F77" s="59">
        <v>25.900000000000006</v>
      </c>
      <c r="G77" s="59">
        <v>225.59999999999997</v>
      </c>
      <c r="H77" s="59">
        <v>1361.4000000000005</v>
      </c>
      <c r="I77" s="59">
        <v>244.90000000000009</v>
      </c>
      <c r="J77" s="59">
        <v>1587.5999999999985</v>
      </c>
      <c r="K77" s="62">
        <v>4526.9999999999964</v>
      </c>
      <c r="L77" s="62"/>
      <c r="M77" s="59">
        <f>SUM(Table2[[#This Row],[Servicii de stat cu destinație generală]:[Protecție socială]])-L77</f>
        <v>10373.099999999995</v>
      </c>
      <c r="N77" s="59">
        <v>10373.099999999995</v>
      </c>
    </row>
    <row r="78" spans="1:14" x14ac:dyDescent="0.2">
      <c r="A78" s="60">
        <v>45413</v>
      </c>
      <c r="B78" s="59">
        <v>1106.8000000000002</v>
      </c>
      <c r="C78" s="59">
        <v>74.600000000000023</v>
      </c>
      <c r="D78" s="59">
        <v>556.50000000000045</v>
      </c>
      <c r="E78" s="59">
        <v>471.30000000000018</v>
      </c>
      <c r="F78" s="59">
        <v>27.299999999999997</v>
      </c>
      <c r="G78" s="59">
        <v>161.40000000000009</v>
      </c>
      <c r="H78" s="59">
        <v>1380.6999999999998</v>
      </c>
      <c r="I78" s="59">
        <v>207.39999999999986</v>
      </c>
      <c r="J78" s="59">
        <v>1451.6000000000004</v>
      </c>
      <c r="K78" s="59">
        <v>3741.6999999999989</v>
      </c>
      <c r="M78" s="59">
        <f>SUM(Table2[[#This Row],[Servicii de stat cu destinație generală]:[Protecție socială]])-L78</f>
        <v>9179.2999999999993</v>
      </c>
      <c r="N78" s="59">
        <v>9179.3000000000175</v>
      </c>
    </row>
    <row r="79" spans="1:14" x14ac:dyDescent="0.2">
      <c r="A79" s="60">
        <v>45444</v>
      </c>
      <c r="B79" s="59">
        <v>716.89999999999964</v>
      </c>
      <c r="C79" s="59">
        <v>93</v>
      </c>
      <c r="D79" s="59">
        <v>557.19999999999982</v>
      </c>
      <c r="E79" s="59">
        <v>1041.2000000000007</v>
      </c>
      <c r="F79" s="59">
        <v>35.500000000000014</v>
      </c>
      <c r="G79" s="59">
        <v>264.29999999999995</v>
      </c>
      <c r="H79" s="59">
        <v>1324</v>
      </c>
      <c r="I79" s="59">
        <v>311.20000000000005</v>
      </c>
      <c r="J79" s="59">
        <v>2383.8000000000011</v>
      </c>
      <c r="K79" s="59">
        <v>3739.3999999999978</v>
      </c>
      <c r="M79" s="59">
        <f>SUM(Table2[[#This Row],[Servicii de stat cu destinație generală]:[Protecție socială]])-L79</f>
        <v>10466.5</v>
      </c>
      <c r="N79" s="59">
        <v>10466.499999999978</v>
      </c>
    </row>
    <row r="80" spans="1:14" x14ac:dyDescent="0.2">
      <c r="A80" s="60">
        <v>45474</v>
      </c>
      <c r="B80" s="59">
        <v>827.89999999999964</v>
      </c>
      <c r="C80" s="59">
        <v>500.8</v>
      </c>
      <c r="D80" s="59">
        <v>550.19999999999982</v>
      </c>
      <c r="E80" s="59">
        <v>1079.3999999999996</v>
      </c>
      <c r="F80" s="59">
        <v>28</v>
      </c>
      <c r="G80" s="59">
        <v>347.59999999999991</v>
      </c>
      <c r="H80" s="59">
        <v>1478.8999999999996</v>
      </c>
      <c r="I80" s="59">
        <v>273.70000000000005</v>
      </c>
      <c r="J80" s="59">
        <v>1550.2999999999993</v>
      </c>
      <c r="K80" s="59">
        <v>3725.9000000000051</v>
      </c>
      <c r="M80" s="59">
        <f>SUM(Table2[[#This Row],[Servicii de stat cu destinație generală]:[Protecție socială]])-L80</f>
        <v>10362.700000000004</v>
      </c>
      <c r="N80" s="59">
        <v>10362.700000000019</v>
      </c>
    </row>
    <row r="81" spans="1:14" x14ac:dyDescent="0.2">
      <c r="A81" s="60">
        <v>45505</v>
      </c>
      <c r="B81" s="59">
        <v>1066.6000000000004</v>
      </c>
      <c r="C81" s="59">
        <v>116.30000000000007</v>
      </c>
      <c r="D81" s="59">
        <v>634</v>
      </c>
      <c r="E81" s="59">
        <v>858.69999999999982</v>
      </c>
      <c r="F81" s="59">
        <v>19.199999999999989</v>
      </c>
      <c r="G81" s="59">
        <v>227.40000000000009</v>
      </c>
      <c r="H81" s="59">
        <v>1761.2999999999993</v>
      </c>
      <c r="I81" s="59">
        <v>225.90000000000009</v>
      </c>
      <c r="J81" s="59">
        <v>797.10000000000218</v>
      </c>
      <c r="K81" s="59">
        <v>3965.0000000000036</v>
      </c>
      <c r="L81" s="59">
        <v>0.70000000000000007</v>
      </c>
      <c r="M81" s="59">
        <f>SUM(Table2[[#This Row],[Servicii de stat cu destinație generală]:[Protecție socială]])-L81</f>
        <v>9670.8000000000047</v>
      </c>
      <c r="N81" s="59">
        <v>9670.7999999999884</v>
      </c>
    </row>
    <row r="82" spans="1:14" x14ac:dyDescent="0.2">
      <c r="A82" s="60">
        <v>45536</v>
      </c>
      <c r="B82" s="59">
        <v>720.19999999999982</v>
      </c>
      <c r="C82" s="59">
        <v>110.70000000000005</v>
      </c>
      <c r="D82" s="59">
        <v>559.79999999999927</v>
      </c>
      <c r="E82" s="59">
        <v>830.59999999999945</v>
      </c>
      <c r="F82" s="59">
        <v>124.4</v>
      </c>
      <c r="G82" s="59">
        <v>153.79999999999995</v>
      </c>
      <c r="H82" s="59">
        <v>1450.4999999999982</v>
      </c>
      <c r="I82" s="59">
        <v>242.29999999999995</v>
      </c>
      <c r="J82" s="59">
        <v>1046.2999999999975</v>
      </c>
      <c r="K82" s="59">
        <v>3748.0999999999949</v>
      </c>
      <c r="M82" s="59">
        <f>SUM(Table2[[#This Row],[Servicii de stat cu destinație generală]:[Protecție socială]])-L82</f>
        <v>8986.6999999999898</v>
      </c>
      <c r="N82" s="59">
        <v>8986.6999999999971</v>
      </c>
    </row>
    <row r="83" spans="1:14" x14ac:dyDescent="0.2">
      <c r="A83" s="60">
        <v>45566</v>
      </c>
      <c r="B83" s="59">
        <v>1197.8000000000002</v>
      </c>
      <c r="C83" s="59">
        <v>71.399999999999636</v>
      </c>
      <c r="D83" s="59">
        <v>525.89999999999964</v>
      </c>
      <c r="E83" s="59">
        <v>1170.1000000000013</v>
      </c>
      <c r="F83" s="59">
        <v>28.800000000000011</v>
      </c>
      <c r="G83" s="59">
        <v>344.80000000000018</v>
      </c>
      <c r="H83" s="59">
        <v>1300.1999999999971</v>
      </c>
      <c r="I83" s="59">
        <v>226.20000000000005</v>
      </c>
      <c r="J83" s="59">
        <v>1431.4000000000033</v>
      </c>
      <c r="K83" s="59">
        <v>3488.0000000000073</v>
      </c>
      <c r="L83" s="59">
        <v>9.9999999999999867E-2</v>
      </c>
      <c r="M83" s="59">
        <f>SUM(Table2[[#This Row],[Servicii de stat cu destinație generală]:[Protecție socială]])-L83</f>
        <v>9784.5000000000091</v>
      </c>
      <c r="N83" s="59">
        <v>9784.5000000000146</v>
      </c>
    </row>
    <row r="84" spans="1:14" x14ac:dyDescent="0.2">
      <c r="A84" s="60">
        <v>45597</v>
      </c>
      <c r="B84" s="59">
        <v>1050.1999999999971</v>
      </c>
      <c r="C84" s="59">
        <v>131.5</v>
      </c>
      <c r="D84" s="59">
        <v>599.30000000000018</v>
      </c>
      <c r="E84" s="59">
        <v>1008.3000000000002</v>
      </c>
      <c r="F84" s="59">
        <v>48.199999999999932</v>
      </c>
      <c r="G84" s="59">
        <v>287.89999999999964</v>
      </c>
      <c r="H84" s="59">
        <v>1861.8000000000029</v>
      </c>
      <c r="I84" s="59">
        <v>298.39999999999964</v>
      </c>
      <c r="J84" s="59">
        <v>1750.1999999999971</v>
      </c>
      <c r="K84" s="59">
        <v>3798.9000000000087</v>
      </c>
      <c r="M84" s="59">
        <f>SUM(Table2[[#This Row],[Servicii de stat cu destinație generală]:[Protecție socială]])-L84</f>
        <v>10834.700000000004</v>
      </c>
      <c r="N84" s="59">
        <v>10834.700000000012</v>
      </c>
    </row>
    <row r="85" spans="1:14" x14ac:dyDescent="0.2">
      <c r="A85" s="60">
        <v>45627</v>
      </c>
      <c r="B85" s="59">
        <v>1148.8000000000029</v>
      </c>
      <c r="C85" s="59">
        <v>361.90000000000009</v>
      </c>
      <c r="D85" s="59">
        <v>979.30000000000018</v>
      </c>
      <c r="E85" s="59">
        <v>2180.5999999999985</v>
      </c>
      <c r="F85" s="59">
        <v>93.699999999999989</v>
      </c>
      <c r="G85" s="59">
        <v>748</v>
      </c>
      <c r="H85" s="59">
        <v>1947.4999999999964</v>
      </c>
      <c r="I85" s="59">
        <v>487.20000000000027</v>
      </c>
      <c r="J85" s="59">
        <v>2865.5999999999985</v>
      </c>
      <c r="K85" s="59">
        <v>4246</v>
      </c>
      <c r="M85" s="59">
        <f>SUM(Table2[[#This Row],[Servicii de stat cu destinație generală]:[Protecție socială]])-L85</f>
        <v>15058.599999999997</v>
      </c>
      <c r="N85" s="59">
        <v>15058.599999999962</v>
      </c>
    </row>
    <row r="86" spans="1:14" x14ac:dyDescent="0.2">
      <c r="A86" s="63">
        <v>45658</v>
      </c>
      <c r="B86" s="64">
        <v>713.1</v>
      </c>
      <c r="C86" s="64">
        <v>51.1</v>
      </c>
      <c r="D86" s="64">
        <v>594.4</v>
      </c>
      <c r="E86" s="64">
        <v>587.29999999999995</v>
      </c>
      <c r="F86" s="64">
        <v>17.100000000000001</v>
      </c>
      <c r="G86" s="64">
        <v>79</v>
      </c>
      <c r="H86" s="64">
        <v>1545.1</v>
      </c>
      <c r="I86" s="64">
        <v>169</v>
      </c>
      <c r="J86" s="64">
        <v>1145.8</v>
      </c>
      <c r="K86" s="64">
        <v>4227</v>
      </c>
      <c r="L86" s="64"/>
      <c r="M86" s="64">
        <f>SUM(Table2[[#This Row],[Servicii de stat cu destinație generală]:[Protecție socială]])-L86</f>
        <v>9128.9</v>
      </c>
      <c r="N86" s="64">
        <v>9128.9</v>
      </c>
    </row>
    <row r="87" spans="1:14" x14ac:dyDescent="0.2">
      <c r="A87" s="60">
        <v>45689</v>
      </c>
      <c r="B87" s="59">
        <v>748.8</v>
      </c>
      <c r="C87" s="59">
        <v>107.9</v>
      </c>
      <c r="D87" s="59">
        <v>579.70000000000005</v>
      </c>
      <c r="E87" s="59">
        <v>701.7</v>
      </c>
      <c r="F87" s="59">
        <v>20.2</v>
      </c>
      <c r="G87" s="59">
        <v>212.6</v>
      </c>
      <c r="H87" s="59">
        <v>1402.3</v>
      </c>
      <c r="I87" s="59">
        <v>237</v>
      </c>
      <c r="J87" s="59">
        <v>1977.9</v>
      </c>
      <c r="K87" s="59">
        <v>4487.3</v>
      </c>
      <c r="L87" s="59">
        <v>0.8</v>
      </c>
      <c r="M87" s="59">
        <f>SUM(Table2[[#This Row],[Servicii de stat cu destinație generală]:[Protecție socială]])-L87</f>
        <v>10474.600000000002</v>
      </c>
      <c r="N87" s="59">
        <v>10474.6</v>
      </c>
    </row>
    <row r="88" spans="1:14" x14ac:dyDescent="0.2">
      <c r="A88" s="60">
        <v>45717</v>
      </c>
      <c r="B88" s="59">
        <v>813.79999999999973</v>
      </c>
      <c r="C88" s="59">
        <v>235.40000000000003</v>
      </c>
      <c r="D88" s="59">
        <v>645.59999999999991</v>
      </c>
      <c r="E88" s="59">
        <v>830.89999999999964</v>
      </c>
      <c r="F88" s="59">
        <v>49.300000000000011</v>
      </c>
      <c r="G88" s="59">
        <v>204.2000000000001</v>
      </c>
      <c r="H88" s="59">
        <v>1551.8000000000006</v>
      </c>
      <c r="I88" s="59">
        <v>309.59999999999991</v>
      </c>
      <c r="J88" s="59">
        <v>1892.6000000000008</v>
      </c>
      <c r="K88" s="59">
        <v>4679.0999999999967</v>
      </c>
      <c r="L88" s="59">
        <v>0.39999999999999991</v>
      </c>
      <c r="M88" s="59">
        <f>SUM(Table2[[#This Row],[Servicii de stat cu destinație generală]:[Protecție socială]])-L88</f>
        <v>11211.899999999998</v>
      </c>
      <c r="N88" s="59">
        <v>11211.900000000001</v>
      </c>
    </row>
    <row r="89" spans="1:14" x14ac:dyDescent="0.2">
      <c r="A89" s="60">
        <v>45748</v>
      </c>
      <c r="B89" s="59">
        <v>1052.5</v>
      </c>
      <c r="C89" s="59">
        <v>143.30000000000001</v>
      </c>
      <c r="D89" s="59">
        <v>680.10000000000014</v>
      </c>
      <c r="E89" s="59">
        <v>876.20000000000027</v>
      </c>
      <c r="F89" s="59">
        <v>46.799999999999969</v>
      </c>
      <c r="G89" s="59">
        <v>256.79999999999995</v>
      </c>
      <c r="H89" s="59">
        <v>1330.6999999999998</v>
      </c>
      <c r="I89" s="59">
        <v>258.70000000000016</v>
      </c>
      <c r="J89" s="59">
        <v>1780.5999999999985</v>
      </c>
      <c r="K89" s="62">
        <v>4910.6000000000058</v>
      </c>
      <c r="L89" s="62"/>
      <c r="M89" s="62">
        <f>SUM(B89:K89)-L89</f>
        <v>11336.300000000005</v>
      </c>
      <c r="N89" s="59">
        <v>11336.299999999992</v>
      </c>
    </row>
    <row r="90" spans="1:14" x14ac:dyDescent="0.2">
      <c r="A90" s="68">
        <v>45778</v>
      </c>
      <c r="B90" s="69">
        <v>970.49999999999909</v>
      </c>
      <c r="C90" s="59">
        <v>122.39999999999998</v>
      </c>
      <c r="D90" s="59">
        <v>624.40000000000009</v>
      </c>
      <c r="E90" s="59">
        <v>1556.7999999999997</v>
      </c>
      <c r="F90" s="59">
        <v>41.400000000000006</v>
      </c>
      <c r="G90" s="59">
        <v>276.39999999999998</v>
      </c>
      <c r="H90" s="59">
        <v>1762.2000000000007</v>
      </c>
      <c r="I90" s="59">
        <v>347.19999999999993</v>
      </c>
      <c r="J90" s="59">
        <v>1749.0000000000018</v>
      </c>
      <c r="K90" s="59">
        <v>4695.5999999999949</v>
      </c>
      <c r="M90" s="62">
        <f>SUM(B90:K90)-L90</f>
        <v>12145.899999999998</v>
      </c>
      <c r="N90" s="59">
        <v>12145.900000000009</v>
      </c>
    </row>
    <row r="91" spans="1:14" x14ac:dyDescent="0.2">
      <c r="A91" s="68">
        <v>45809</v>
      </c>
      <c r="B91" s="69">
        <v>823.2</v>
      </c>
      <c r="C91" s="59">
        <v>92.9</v>
      </c>
      <c r="D91" s="59">
        <v>625.29999999999995</v>
      </c>
      <c r="E91" s="59">
        <v>959.2</v>
      </c>
      <c r="F91" s="59">
        <v>30.1</v>
      </c>
      <c r="G91" s="59">
        <v>351.4</v>
      </c>
      <c r="H91" s="59">
        <v>1602.7</v>
      </c>
      <c r="I91" s="59">
        <v>374.5</v>
      </c>
      <c r="J91" s="59">
        <v>2777.3</v>
      </c>
      <c r="K91" s="59">
        <v>4358.2</v>
      </c>
      <c r="M91" s="62">
        <f>SUM(B91:K91)-L91</f>
        <v>11994.8</v>
      </c>
      <c r="N91" s="59">
        <v>11994.8</v>
      </c>
    </row>
    <row r="92" spans="1:14" x14ac:dyDescent="0.2">
      <c r="A92" s="68">
        <v>45839</v>
      </c>
      <c r="B92" s="69">
        <v>896.59999999999945</v>
      </c>
      <c r="C92" s="59">
        <v>93.699999999999932</v>
      </c>
      <c r="D92" s="59">
        <v>657</v>
      </c>
      <c r="E92" s="59">
        <v>1026.9000000000005</v>
      </c>
      <c r="F92" s="59">
        <v>46.899999999999977</v>
      </c>
      <c r="G92" s="59">
        <v>377.20000000000027</v>
      </c>
      <c r="H92" s="59">
        <v>1267.5000000000018</v>
      </c>
      <c r="I92" s="59">
        <v>278.80000000000018</v>
      </c>
      <c r="J92" s="59">
        <v>1657.5000000000018</v>
      </c>
      <c r="K92" s="59">
        <v>4324.2000000000007</v>
      </c>
      <c r="M92" s="62">
        <f>SUM(B92:K92)-L92</f>
        <v>10626.300000000005</v>
      </c>
      <c r="N92" s="59">
        <v>10626.299999999988</v>
      </c>
    </row>
    <row r="93" spans="1:14" x14ac:dyDescent="0.2">
      <c r="A93" s="68">
        <v>45870</v>
      </c>
      <c r="B93" s="69">
        <v>872.49999999999909</v>
      </c>
      <c r="C93" s="59">
        <v>103.5</v>
      </c>
      <c r="D93" s="59">
        <v>686.80000000000018</v>
      </c>
      <c r="E93" s="62">
        <v>1186.0000000000009</v>
      </c>
      <c r="F93" s="59">
        <v>50.600000000000051</v>
      </c>
      <c r="G93" s="59">
        <v>337.59999999999968</v>
      </c>
      <c r="H93" s="59">
        <v>2008.3999999999996</v>
      </c>
      <c r="I93" s="59">
        <v>282.40000000000009</v>
      </c>
      <c r="J93" s="59">
        <v>899.09999999999854</v>
      </c>
      <c r="K93" s="59">
        <v>4336.7999999999956</v>
      </c>
      <c r="L93" s="59">
        <v>0.5</v>
      </c>
      <c r="M93" s="62">
        <f>SUM(B93:K93)-L93</f>
        <v>10763.199999999993</v>
      </c>
      <c r="N93" s="59">
        <v>10763.199999999983</v>
      </c>
    </row>
    <row r="94" spans="1:14" x14ac:dyDescent="0.2">
      <c r="A94" s="68">
        <v>45901</v>
      </c>
      <c r="B94" s="62">
        <v>891.50000000000364</v>
      </c>
      <c r="C94" s="62">
        <v>231.30000000000007</v>
      </c>
      <c r="D94" s="62">
        <v>648.39999999999964</v>
      </c>
      <c r="E94" s="62">
        <v>940.80000000000018</v>
      </c>
      <c r="F94" s="62">
        <v>43</v>
      </c>
      <c r="G94" s="62">
        <v>347.89999999999964</v>
      </c>
      <c r="H94" s="62">
        <v>1502.7999999999975</v>
      </c>
      <c r="I94" s="62">
        <v>272.79999999999973</v>
      </c>
      <c r="J94" s="62">
        <v>1257.1000000000004</v>
      </c>
      <c r="K94" s="62">
        <v>4584.8000000000102</v>
      </c>
      <c r="L94" s="59">
        <v>2</v>
      </c>
      <c r="M94" s="59">
        <v>10718.400000000011</v>
      </c>
      <c r="N94" s="59">
        <v>10718.400000000011</v>
      </c>
    </row>
    <row r="95" spans="1:14" x14ac:dyDescent="0.2">
      <c r="A95" s="68">
        <v>45931</v>
      </c>
      <c r="B95" s="59">
        <v>1232.4999999999991</v>
      </c>
      <c r="C95" s="59">
        <v>123.70000000000005</v>
      </c>
      <c r="D95" s="59">
        <v>816.80000000000018</v>
      </c>
      <c r="E95" s="59">
        <v>1118.8999999999996</v>
      </c>
      <c r="F95" s="59">
        <v>46.300000000000011</v>
      </c>
      <c r="G95" s="59">
        <v>485.30000000000018</v>
      </c>
      <c r="H95" s="59">
        <v>1396.1000000000004</v>
      </c>
      <c r="I95" s="59">
        <v>320.19999999999982</v>
      </c>
      <c r="J95" s="59">
        <v>1953.0999999999985</v>
      </c>
      <c r="K95" s="59">
        <v>4292.1999999999971</v>
      </c>
      <c r="L95" s="59">
        <v>2</v>
      </c>
      <c r="M95" s="59">
        <v>11783.099999999995</v>
      </c>
      <c r="N95" s="59">
        <v>11783.099999999995</v>
      </c>
    </row>
    <row r="96" spans="1:14" x14ac:dyDescent="0.2">
      <c r="A96" s="68">
        <v>45962</v>
      </c>
      <c r="B96" s="59">
        <v>1064.7000000000007</v>
      </c>
      <c r="C96" s="59">
        <v>170.59999999999991</v>
      </c>
      <c r="D96" s="59">
        <v>695.10000000000036</v>
      </c>
      <c r="E96" s="59">
        <v>1300.2999999999993</v>
      </c>
      <c r="F96" s="59">
        <v>32.5</v>
      </c>
      <c r="G96" s="59">
        <v>384.80000000000018</v>
      </c>
      <c r="H96" s="59">
        <v>1997.600000000004</v>
      </c>
      <c r="I96" s="59">
        <v>248.30000000000064</v>
      </c>
      <c r="J96" s="59">
        <v>1837.5</v>
      </c>
      <c r="K96" s="59">
        <v>4150.6000000000058</v>
      </c>
      <c r="L96" s="59">
        <v>2</v>
      </c>
      <c r="M96" s="59">
        <v>11880.000000000011</v>
      </c>
      <c r="N96" s="59">
        <v>11880.000000000011</v>
      </c>
    </row>
    <row r="97" spans="1:14" x14ac:dyDescent="0.2">
      <c r="A97" s="68">
        <v>45998</v>
      </c>
      <c r="B97" s="59">
        <v>1386.3</v>
      </c>
      <c r="C97" s="59">
        <v>368</v>
      </c>
      <c r="D97" s="59">
        <v>1160.0999999999999</v>
      </c>
      <c r="E97" s="59">
        <v>2801.9</v>
      </c>
      <c r="F97" s="59">
        <v>144</v>
      </c>
      <c r="G97" s="59">
        <v>948</v>
      </c>
      <c r="H97" s="59">
        <v>2025.9</v>
      </c>
      <c r="I97" s="59">
        <v>599.9</v>
      </c>
      <c r="J97" s="59">
        <v>3343.6</v>
      </c>
      <c r="K97" s="59">
        <v>5009.6000000000004</v>
      </c>
      <c r="M97" s="59">
        <v>17787.3</v>
      </c>
      <c r="N97" s="59">
        <v>17787.3</v>
      </c>
    </row>
    <row r="98" spans="1:14" x14ac:dyDescent="0.2">
      <c r="A98" s="70">
        <v>46023</v>
      </c>
      <c r="B98" s="71">
        <v>646.9</v>
      </c>
      <c r="C98" s="71">
        <v>62.9</v>
      </c>
      <c r="D98" s="71">
        <v>571.1</v>
      </c>
      <c r="E98" s="71">
        <v>871.5</v>
      </c>
      <c r="F98" s="71">
        <v>18.899999999999999</v>
      </c>
      <c r="G98" s="71">
        <v>116.1</v>
      </c>
      <c r="H98" s="71">
        <v>1758.4</v>
      </c>
      <c r="I98" s="71">
        <v>215.5</v>
      </c>
      <c r="J98" s="71">
        <v>1322.8</v>
      </c>
      <c r="K98" s="71">
        <v>4592.7</v>
      </c>
      <c r="L98" s="71"/>
      <c r="M98" s="71">
        <v>10176.799999999999</v>
      </c>
      <c r="N98" s="71">
        <v>10176.799999999999</v>
      </c>
    </row>
    <row r="99" spans="1:14" x14ac:dyDescent="0.2">
      <c r="A99" s="68">
        <v>46054</v>
      </c>
      <c r="B99" s="59">
        <v>921.50000000000023</v>
      </c>
      <c r="C99" s="59">
        <v>72.699999999999989</v>
      </c>
      <c r="D99" s="59">
        <v>605.5999999999998</v>
      </c>
      <c r="E99" s="59">
        <v>550.69999999999982</v>
      </c>
      <c r="F99" s="59">
        <v>30.4</v>
      </c>
      <c r="G99" s="59">
        <v>296</v>
      </c>
      <c r="H99" s="59">
        <v>1543.6999999999998</v>
      </c>
      <c r="I99" s="59">
        <v>287.49999999999989</v>
      </c>
      <c r="J99" s="59">
        <v>2083.7000000000003</v>
      </c>
      <c r="K99" s="59">
        <v>4690.8</v>
      </c>
      <c r="L99" s="59">
        <v>3</v>
      </c>
      <c r="M99" s="59">
        <v>11079.600000000006</v>
      </c>
      <c r="N99" s="59">
        <v>11079.599999999999</v>
      </c>
    </row>
    <row r="100" spans="1:14" x14ac:dyDescent="0.2">
      <c r="A100" s="68">
        <v>46082</v>
      </c>
      <c r="B100" s="59">
        <v>1052.3999999999994</v>
      </c>
      <c r="C100" s="59">
        <v>107.6</v>
      </c>
      <c r="D100" s="59">
        <v>670.50000000000023</v>
      </c>
      <c r="E100" s="59">
        <v>1166.7000000000003</v>
      </c>
      <c r="F100" s="59">
        <v>54.800000000000011</v>
      </c>
      <c r="G100" s="59">
        <v>309.40000000000003</v>
      </c>
      <c r="H100" s="59">
        <v>1626.900000000001</v>
      </c>
      <c r="I100" s="59">
        <v>320.60000000000014</v>
      </c>
      <c r="J100" s="59">
        <v>2012.2999999999993</v>
      </c>
      <c r="K100" s="59">
        <v>4799.2999999999993</v>
      </c>
      <c r="L100" s="59">
        <v>0.1</v>
      </c>
      <c r="M100" s="59">
        <v>12120.399999999994</v>
      </c>
      <c r="N100" s="59">
        <v>12120.4</v>
      </c>
    </row>
  </sheetData>
  <pageMargins left="0.7" right="0.7" top="0.75" bottom="0.75" header="0.3" footer="0.3"/>
  <pageSetup paperSize="9" orientation="portrait" verticalDpi="0" r:id="rId1"/>
  <ignoredErrors>
    <ignoredError sqref="M89" formulaRange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6D04-39A4-4F1B-ABA7-364AB56917F7}">
  <sheetPr>
    <tabColor theme="5" tint="0.79998168889431442"/>
  </sheetPr>
  <dimension ref="A1:L10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80" sqref="F80"/>
    </sheetView>
  </sheetViews>
  <sheetFormatPr baseColWidth="10" defaultColWidth="8.83203125" defaultRowHeight="15" x14ac:dyDescent="0.2"/>
  <cols>
    <col min="1" max="1" width="14.1640625" bestFit="1" customWidth="1"/>
    <col min="2" max="2" width="11.1640625" customWidth="1"/>
    <col min="3" max="10" width="10.1640625" customWidth="1"/>
    <col min="11" max="11" width="12.5" customWidth="1"/>
    <col min="12" max="12" width="14" bestFit="1" customWidth="1"/>
  </cols>
  <sheetData>
    <row r="1" spans="1:12" ht="16" x14ac:dyDescent="0.2">
      <c r="A1" s="13"/>
      <c r="B1" s="47" t="s">
        <v>24</v>
      </c>
      <c r="C1" s="48"/>
      <c r="D1" s="48"/>
      <c r="E1" s="48"/>
      <c r="F1" s="48"/>
      <c r="G1" s="48"/>
      <c r="H1" s="49"/>
      <c r="I1" s="50" t="s">
        <v>25</v>
      </c>
      <c r="J1" s="50"/>
      <c r="K1" s="50"/>
    </row>
    <row r="2" spans="1:12" ht="39" customHeight="1" x14ac:dyDescent="0.2">
      <c r="A2" s="14" t="s">
        <v>0</v>
      </c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5" t="s">
        <v>32</v>
      </c>
      <c r="I2" s="16" t="s">
        <v>33</v>
      </c>
      <c r="J2" s="16" t="s">
        <v>34</v>
      </c>
      <c r="K2" s="17" t="s">
        <v>35</v>
      </c>
      <c r="L2" s="18" t="s">
        <v>41</v>
      </c>
    </row>
    <row r="3" spans="1:12" x14ac:dyDescent="0.2">
      <c r="A3" s="3">
        <v>43101</v>
      </c>
      <c r="B3" s="2">
        <v>937.09999999999991</v>
      </c>
      <c r="C3" s="2">
        <v>523.29999999999995</v>
      </c>
      <c r="D3" s="2">
        <v>67.200000000000017</v>
      </c>
      <c r="E3" s="2">
        <v>143.29999999999998</v>
      </c>
      <c r="F3" s="2">
        <v>1.8</v>
      </c>
      <c r="G3" s="2">
        <v>1563.7000000000003</v>
      </c>
      <c r="H3" s="2">
        <v>46.7</v>
      </c>
      <c r="I3" s="2">
        <v>39.200000000000003</v>
      </c>
      <c r="J3" s="2">
        <v>31.9</v>
      </c>
      <c r="K3" s="2">
        <v>-12</v>
      </c>
      <c r="L3">
        <v>3342.2</v>
      </c>
    </row>
    <row r="4" spans="1:12" x14ac:dyDescent="0.2">
      <c r="A4" s="3">
        <v>43132</v>
      </c>
      <c r="B4" s="2">
        <v>1216.0999999999999</v>
      </c>
      <c r="C4" s="2">
        <v>822.90000000000009</v>
      </c>
      <c r="D4" s="2">
        <v>81</v>
      </c>
      <c r="E4" s="2">
        <v>314.39999999999998</v>
      </c>
      <c r="F4" s="2">
        <v>6</v>
      </c>
      <c r="G4" s="2">
        <v>1563</v>
      </c>
      <c r="H4" s="2">
        <v>156</v>
      </c>
      <c r="I4" s="2">
        <v>82.999999999999986</v>
      </c>
      <c r="J4" s="2">
        <v>125.69999999999999</v>
      </c>
      <c r="K4" s="2">
        <v>-9.1000000000000014</v>
      </c>
      <c r="L4">
        <v>4359.0000000000009</v>
      </c>
    </row>
    <row r="5" spans="1:12" x14ac:dyDescent="0.2">
      <c r="A5" s="3">
        <v>43160</v>
      </c>
      <c r="B5" s="2">
        <v>1128.9000000000001</v>
      </c>
      <c r="C5" s="2">
        <v>1007.8</v>
      </c>
      <c r="D5" s="2">
        <v>103.6</v>
      </c>
      <c r="E5" s="2">
        <v>194.8</v>
      </c>
      <c r="F5" s="2">
        <v>1.6000000000000005</v>
      </c>
      <c r="G5" s="2">
        <v>1578.6</v>
      </c>
      <c r="H5" s="2">
        <v>176.79999999999998</v>
      </c>
      <c r="I5" s="2">
        <v>126.39999999999998</v>
      </c>
      <c r="J5" s="2">
        <v>149.20000000000002</v>
      </c>
      <c r="K5" s="2">
        <v>-8.3999999999999986</v>
      </c>
      <c r="L5">
        <v>4459.2999999999975</v>
      </c>
    </row>
    <row r="6" spans="1:12" x14ac:dyDescent="0.2">
      <c r="A6" s="3">
        <v>43191</v>
      </c>
      <c r="B6" s="2">
        <v>1122.5000000000005</v>
      </c>
      <c r="C6" s="2">
        <v>896.09999999999991</v>
      </c>
      <c r="D6" s="2">
        <v>363.99999999999994</v>
      </c>
      <c r="E6" s="2">
        <v>201.80000000000007</v>
      </c>
      <c r="F6" s="2">
        <v>0.59999999999999964</v>
      </c>
      <c r="G6" s="2">
        <v>1758.7000000000007</v>
      </c>
      <c r="H6" s="2">
        <v>157.5</v>
      </c>
      <c r="I6" s="2">
        <v>113.80000000000001</v>
      </c>
      <c r="J6" s="2">
        <v>153</v>
      </c>
      <c r="K6" s="2">
        <v>-6.2000000000000028</v>
      </c>
      <c r="L6">
        <v>4761.8000000000011</v>
      </c>
    </row>
    <row r="7" spans="1:12" x14ac:dyDescent="0.2">
      <c r="A7" s="3">
        <v>43221</v>
      </c>
      <c r="B7" s="2">
        <v>1065</v>
      </c>
      <c r="C7" s="2">
        <v>938.40000000000009</v>
      </c>
      <c r="D7" s="2">
        <v>95.600000000000136</v>
      </c>
      <c r="E7" s="2">
        <v>251.80000000000007</v>
      </c>
      <c r="F7" s="2">
        <v>-0.30000000000000071</v>
      </c>
      <c r="G7" s="2">
        <v>1642.2999999999984</v>
      </c>
      <c r="H7" s="2">
        <v>173.20000000000005</v>
      </c>
      <c r="I7" s="2">
        <v>214.89999999999998</v>
      </c>
      <c r="J7" s="2">
        <v>173.60000000000008</v>
      </c>
      <c r="K7" s="2">
        <v>-9.0999999999999943</v>
      </c>
      <c r="L7">
        <v>4545.4000000000015</v>
      </c>
    </row>
    <row r="8" spans="1:12" x14ac:dyDescent="0.2">
      <c r="A8" s="3">
        <v>43252</v>
      </c>
      <c r="B8" s="2">
        <v>1535.2999999999993</v>
      </c>
      <c r="C8" s="2">
        <v>870.60000000000036</v>
      </c>
      <c r="D8" s="2">
        <v>57.499999999999886</v>
      </c>
      <c r="E8" s="2">
        <v>589.59999999999991</v>
      </c>
      <c r="F8" s="2">
        <v>2.2000000000000011</v>
      </c>
      <c r="G8" s="2">
        <v>1606.3999999999996</v>
      </c>
      <c r="H8" s="2">
        <v>234.89999999999986</v>
      </c>
      <c r="I8" s="2">
        <v>324.20000000000005</v>
      </c>
      <c r="J8" s="2">
        <v>215</v>
      </c>
      <c r="K8" s="2">
        <v>-8.7000000000000028</v>
      </c>
      <c r="L8">
        <v>5427</v>
      </c>
    </row>
    <row r="9" spans="1:12" x14ac:dyDescent="0.2">
      <c r="A9" s="3">
        <v>43282</v>
      </c>
      <c r="B9" s="2">
        <v>1186.1000000000004</v>
      </c>
      <c r="C9" s="2">
        <v>884.70000000000073</v>
      </c>
      <c r="D9" s="2">
        <v>64.399999999999977</v>
      </c>
      <c r="E9" s="2">
        <v>472.29999999999995</v>
      </c>
      <c r="F9" s="2">
        <v>12.899999999999997</v>
      </c>
      <c r="G9" s="2">
        <v>1626.9000000000015</v>
      </c>
      <c r="H9" s="2">
        <v>142.70000000000005</v>
      </c>
      <c r="I9" s="2">
        <v>346.79999999999995</v>
      </c>
      <c r="J9" s="2">
        <v>155.09999999999991</v>
      </c>
      <c r="K9" s="2">
        <v>-11.599999999999994</v>
      </c>
      <c r="L9">
        <v>4880.3000000000065</v>
      </c>
    </row>
    <row r="10" spans="1:12" x14ac:dyDescent="0.2">
      <c r="A10" s="3">
        <v>43313</v>
      </c>
      <c r="B10" s="2">
        <v>1010.7999999999993</v>
      </c>
      <c r="C10" s="2">
        <v>849.39999999999873</v>
      </c>
      <c r="D10" s="2">
        <v>94.5</v>
      </c>
      <c r="E10" s="2">
        <v>404.90000000000009</v>
      </c>
      <c r="F10" s="2">
        <v>3.6000000000000014</v>
      </c>
      <c r="G10" s="2">
        <v>1597.6999999999989</v>
      </c>
      <c r="H10" s="2">
        <v>104.69999999999982</v>
      </c>
      <c r="I10" s="2">
        <v>392.29999999999995</v>
      </c>
      <c r="J10" s="2">
        <v>126.30000000000018</v>
      </c>
      <c r="K10" s="2">
        <v>-8.9000000000000057</v>
      </c>
      <c r="L10">
        <v>4575.2999999999884</v>
      </c>
    </row>
    <row r="11" spans="1:12" x14ac:dyDescent="0.2">
      <c r="A11" s="3">
        <v>43344</v>
      </c>
      <c r="B11" s="2">
        <v>918.10000000000036</v>
      </c>
      <c r="C11" s="2">
        <v>868.59999999999945</v>
      </c>
      <c r="D11" s="2">
        <v>61.200000000000045</v>
      </c>
      <c r="E11" s="2">
        <v>365.30000000000018</v>
      </c>
      <c r="F11" s="2">
        <v>0.90000000000000213</v>
      </c>
      <c r="G11" s="2">
        <v>1598.2000000000007</v>
      </c>
      <c r="H11" s="2">
        <v>112.00000000000023</v>
      </c>
      <c r="I11" s="2">
        <v>440.80000000000018</v>
      </c>
      <c r="J11" s="2">
        <v>164.19999999999982</v>
      </c>
      <c r="K11" s="2">
        <v>-4.4000000000000057</v>
      </c>
      <c r="L11">
        <v>4524.9000000000015</v>
      </c>
    </row>
    <row r="12" spans="1:12" x14ac:dyDescent="0.2">
      <c r="A12" s="3">
        <v>43374</v>
      </c>
      <c r="B12" s="2">
        <v>1090.8000000000011</v>
      </c>
      <c r="C12" s="2">
        <v>897.10000000000036</v>
      </c>
      <c r="D12" s="2">
        <v>386.90000000000009</v>
      </c>
      <c r="E12" s="2">
        <v>492.79999999999973</v>
      </c>
      <c r="F12" s="2">
        <v>0.30000000000000071</v>
      </c>
      <c r="G12" s="2">
        <v>1671.2999999999993</v>
      </c>
      <c r="H12" s="2">
        <v>180.5</v>
      </c>
      <c r="I12" s="2">
        <v>421.40000000000009</v>
      </c>
      <c r="J12" s="2">
        <v>209.90000000000009</v>
      </c>
      <c r="K12" s="2">
        <v>-6.7999999999999972</v>
      </c>
      <c r="L12">
        <v>5344.2000000000044</v>
      </c>
    </row>
    <row r="13" spans="1:12" x14ac:dyDescent="0.2">
      <c r="A13" s="3">
        <v>43405</v>
      </c>
      <c r="B13" s="2">
        <v>1163.5</v>
      </c>
      <c r="C13" s="2">
        <v>956.20000000000073</v>
      </c>
      <c r="D13" s="2">
        <v>89.900000000000091</v>
      </c>
      <c r="E13" s="2">
        <v>442.40000000000009</v>
      </c>
      <c r="F13" s="2">
        <v>1.7999999999999972</v>
      </c>
      <c r="G13" s="2">
        <v>1665.3000000000029</v>
      </c>
      <c r="H13" s="2">
        <v>234</v>
      </c>
      <c r="I13" s="2">
        <v>642.79999999999973</v>
      </c>
      <c r="J13" s="2">
        <v>241.69999999999982</v>
      </c>
      <c r="K13" s="2">
        <v>-16.799999999999997</v>
      </c>
      <c r="L13">
        <v>5420.7999999999956</v>
      </c>
    </row>
    <row r="14" spans="1:12" x14ac:dyDescent="0.2">
      <c r="A14" s="3">
        <v>43435</v>
      </c>
      <c r="B14" s="2">
        <v>1358.8999999999996</v>
      </c>
      <c r="C14" s="2">
        <v>1693.4999999999982</v>
      </c>
      <c r="D14" s="2">
        <v>60.099999999999909</v>
      </c>
      <c r="E14" s="2">
        <v>654.20000000000027</v>
      </c>
      <c r="F14" s="2">
        <v>4.3999999999999986</v>
      </c>
      <c r="G14" s="2">
        <v>2076.8999999999978</v>
      </c>
      <c r="H14" s="2">
        <v>320.60000000000014</v>
      </c>
      <c r="I14" s="2">
        <v>1371.6</v>
      </c>
      <c r="J14" s="2">
        <v>441.59999999999991</v>
      </c>
      <c r="K14" s="2">
        <v>-13.099999999999994</v>
      </c>
      <c r="L14">
        <v>7968.6999999999898</v>
      </c>
    </row>
    <row r="15" spans="1:12" x14ac:dyDescent="0.2">
      <c r="A15" s="3">
        <v>43466</v>
      </c>
      <c r="B15" s="2">
        <v>1217.4000000000001</v>
      </c>
      <c r="C15" s="2">
        <v>626.70000000000005</v>
      </c>
      <c r="D15" s="2">
        <v>61.9</v>
      </c>
      <c r="E15" s="2">
        <v>210.5</v>
      </c>
      <c r="F15" s="2">
        <v>0</v>
      </c>
      <c r="G15" s="2">
        <v>1797.3999999999999</v>
      </c>
      <c r="H15" s="2">
        <v>135.6</v>
      </c>
      <c r="I15" s="2">
        <v>49.2</v>
      </c>
      <c r="J15" s="2">
        <v>46.2</v>
      </c>
      <c r="K15" s="2">
        <v>-6.7</v>
      </c>
      <c r="L15">
        <v>4138.1999999999989</v>
      </c>
    </row>
    <row r="16" spans="1:12" x14ac:dyDescent="0.2">
      <c r="A16" s="3">
        <v>43497</v>
      </c>
      <c r="B16" s="2">
        <v>1532.1</v>
      </c>
      <c r="C16" s="2">
        <v>861.5</v>
      </c>
      <c r="D16" s="2">
        <v>88.799999999999983</v>
      </c>
      <c r="E16" s="2">
        <v>213.8</v>
      </c>
      <c r="F16" s="2">
        <v>0.3</v>
      </c>
      <c r="G16" s="2">
        <v>1811.6000000000001</v>
      </c>
      <c r="H16" s="2">
        <v>330.5</v>
      </c>
      <c r="I16" s="2">
        <v>169.8</v>
      </c>
      <c r="J16" s="2">
        <v>137.19999999999999</v>
      </c>
      <c r="K16" s="2">
        <v>-5.7</v>
      </c>
      <c r="L16">
        <v>5139.9000000000015</v>
      </c>
    </row>
    <row r="17" spans="1:12" x14ac:dyDescent="0.2">
      <c r="A17" s="3">
        <v>43525</v>
      </c>
      <c r="B17" s="2">
        <v>1284.9000000000001</v>
      </c>
      <c r="C17" s="2">
        <v>965.89999999999986</v>
      </c>
      <c r="D17" s="2">
        <v>104</v>
      </c>
      <c r="E17" s="2">
        <v>421.40000000000003</v>
      </c>
      <c r="F17" s="2">
        <v>1.9999999999999998</v>
      </c>
      <c r="G17" s="2">
        <v>1812.4000000000005</v>
      </c>
      <c r="H17" s="2">
        <v>255.3</v>
      </c>
      <c r="I17" s="2">
        <v>192.39999999999998</v>
      </c>
      <c r="J17" s="2">
        <v>188.1</v>
      </c>
      <c r="K17" s="2">
        <v>-4.6999999999999975</v>
      </c>
      <c r="L17">
        <v>5221.6999999999989</v>
      </c>
    </row>
    <row r="18" spans="1:12" x14ac:dyDescent="0.2">
      <c r="A18" s="3">
        <v>43556</v>
      </c>
      <c r="B18" s="2">
        <v>1325.7000000000003</v>
      </c>
      <c r="C18" s="2">
        <v>1115.5999999999999</v>
      </c>
      <c r="D18" s="2">
        <v>403.6</v>
      </c>
      <c r="E18" s="2">
        <v>232.59999999999991</v>
      </c>
      <c r="F18" s="2">
        <v>2.6000000000000005</v>
      </c>
      <c r="G18" s="2">
        <v>2334.5999999999995</v>
      </c>
      <c r="H18" s="2">
        <v>258.10000000000002</v>
      </c>
      <c r="I18" s="2">
        <v>384.69999999999993</v>
      </c>
      <c r="J18" s="2">
        <v>160.20000000000005</v>
      </c>
      <c r="K18" s="2">
        <v>-6.8000000000000043</v>
      </c>
      <c r="L18">
        <v>6210.8999999999942</v>
      </c>
    </row>
    <row r="19" spans="1:12" x14ac:dyDescent="0.2">
      <c r="A19" s="3">
        <v>43586</v>
      </c>
      <c r="B19" s="2">
        <v>1280.0999999999995</v>
      </c>
      <c r="C19" s="2">
        <v>835.70000000000073</v>
      </c>
      <c r="D19" s="2">
        <v>101.29999999999995</v>
      </c>
      <c r="E19" s="2">
        <v>345.60000000000014</v>
      </c>
      <c r="F19" s="2">
        <v>0.29999999999999982</v>
      </c>
      <c r="G19" s="2">
        <v>1799.8000000000011</v>
      </c>
      <c r="H19" s="2">
        <v>273.20000000000005</v>
      </c>
      <c r="I19" s="2">
        <v>347.80000000000018</v>
      </c>
      <c r="J19" s="2">
        <v>189.89999999999998</v>
      </c>
      <c r="K19" s="2">
        <v>-0.69999999999999929</v>
      </c>
      <c r="L19">
        <v>5173.0000000000036</v>
      </c>
    </row>
    <row r="20" spans="1:12" x14ac:dyDescent="0.2">
      <c r="A20" s="3">
        <v>43617</v>
      </c>
      <c r="B20" s="2">
        <v>1788.3000000000002</v>
      </c>
      <c r="C20" s="2">
        <v>959.79999999999927</v>
      </c>
      <c r="D20" s="2">
        <v>56.400000000000091</v>
      </c>
      <c r="E20" s="2">
        <v>192.40000000000009</v>
      </c>
      <c r="F20" s="2">
        <v>1.7000000000000002</v>
      </c>
      <c r="G20" s="2">
        <v>1796.3000000000011</v>
      </c>
      <c r="H20" s="2">
        <v>255.09999999999991</v>
      </c>
      <c r="I20" s="2">
        <v>450.5</v>
      </c>
      <c r="J20" s="2">
        <v>188.19999999999993</v>
      </c>
      <c r="K20" s="2">
        <v>-2.6000000000000014</v>
      </c>
      <c r="L20">
        <v>5686.1000000000022</v>
      </c>
    </row>
    <row r="21" spans="1:12" x14ac:dyDescent="0.2">
      <c r="A21" s="3">
        <v>43647</v>
      </c>
      <c r="B21" s="2">
        <v>1296.6000000000004</v>
      </c>
      <c r="C21" s="2">
        <v>1149</v>
      </c>
      <c r="D21" s="2">
        <v>69.100000000000023</v>
      </c>
      <c r="E21" s="2">
        <v>403.69999999999982</v>
      </c>
      <c r="F21" s="2">
        <v>7.2999999999999989</v>
      </c>
      <c r="G21" s="2">
        <v>1843.4999999999982</v>
      </c>
      <c r="H21" s="2">
        <v>270.50000000000023</v>
      </c>
      <c r="I21" s="2">
        <v>376.39999999999986</v>
      </c>
      <c r="J21" s="2">
        <v>154.70000000000005</v>
      </c>
      <c r="K21" s="2">
        <v>-9.3999999999999986</v>
      </c>
      <c r="L21">
        <v>5561.3999999999978</v>
      </c>
    </row>
    <row r="22" spans="1:12" x14ac:dyDescent="0.2">
      <c r="A22" s="3">
        <v>43678</v>
      </c>
      <c r="B22" s="2">
        <v>1050.2999999999993</v>
      </c>
      <c r="C22" s="2">
        <v>805.30000000000018</v>
      </c>
      <c r="D22" s="2">
        <v>113.19999999999993</v>
      </c>
      <c r="E22" s="2">
        <v>367.59999999999991</v>
      </c>
      <c r="F22" s="2">
        <v>0.30000000000000071</v>
      </c>
      <c r="G22" s="2">
        <v>1759.8999999999996</v>
      </c>
      <c r="H22" s="2">
        <v>104.59999999999991</v>
      </c>
      <c r="I22" s="2">
        <v>374.00000000000023</v>
      </c>
      <c r="J22" s="2">
        <v>133.70000000000005</v>
      </c>
      <c r="K22" s="2">
        <v>-31.1</v>
      </c>
      <c r="L22">
        <v>4677.8000000000029</v>
      </c>
    </row>
    <row r="23" spans="1:12" x14ac:dyDescent="0.2">
      <c r="A23" s="3">
        <v>43709</v>
      </c>
      <c r="B23" s="2">
        <v>999.50000000000182</v>
      </c>
      <c r="C23" s="2">
        <v>826.90000000000055</v>
      </c>
      <c r="D23" s="2">
        <v>83.5</v>
      </c>
      <c r="E23" s="2">
        <v>472.80000000000018</v>
      </c>
      <c r="F23" s="2">
        <v>0.5</v>
      </c>
      <c r="G23" s="2">
        <v>1816.0999999999985</v>
      </c>
      <c r="H23" s="2">
        <v>154.20000000000005</v>
      </c>
      <c r="I23" s="2">
        <v>442.69999999999982</v>
      </c>
      <c r="J23" s="2">
        <v>166.20000000000005</v>
      </c>
      <c r="K23" s="2">
        <v>-0.29999999999999716</v>
      </c>
      <c r="L23">
        <v>4962.0999999999985</v>
      </c>
    </row>
    <row r="24" spans="1:12" x14ac:dyDescent="0.2">
      <c r="A24" s="3">
        <v>43739</v>
      </c>
      <c r="B24" s="2">
        <v>1240.1999999999989</v>
      </c>
      <c r="C24" s="2">
        <v>1166.8000000000002</v>
      </c>
      <c r="D24" s="2">
        <v>404.60000000000014</v>
      </c>
      <c r="E24" s="2">
        <v>477.19999999999982</v>
      </c>
      <c r="F24" s="2">
        <v>0.69999999999999929</v>
      </c>
      <c r="G24" s="2">
        <v>1829.4000000000015</v>
      </c>
      <c r="H24" s="2">
        <v>251.79999999999995</v>
      </c>
      <c r="I24" s="2">
        <v>414.80000000000018</v>
      </c>
      <c r="J24" s="2">
        <v>195.79999999999995</v>
      </c>
      <c r="K24" s="2">
        <v>-1.5999999999999943</v>
      </c>
      <c r="L24">
        <v>5979.6999999999971</v>
      </c>
    </row>
    <row r="25" spans="1:12" x14ac:dyDescent="0.2">
      <c r="A25" s="3">
        <v>43770</v>
      </c>
      <c r="B25" s="2">
        <v>1208.4999999999982</v>
      </c>
      <c r="C25" s="2">
        <v>897.29999999999927</v>
      </c>
      <c r="D25" s="2">
        <v>77.999999999999773</v>
      </c>
      <c r="E25" s="2">
        <v>468.29999999999973</v>
      </c>
      <c r="F25" s="2">
        <v>13.8</v>
      </c>
      <c r="G25" s="2">
        <v>1812.4000000000015</v>
      </c>
      <c r="H25" s="2">
        <v>359.90000000000009</v>
      </c>
      <c r="I25" s="2">
        <v>411.59999999999991</v>
      </c>
      <c r="J25" s="2">
        <v>214.19999999999982</v>
      </c>
      <c r="K25" s="2">
        <v>-3.7999999999999972</v>
      </c>
      <c r="L25">
        <v>5460.2000000000116</v>
      </c>
    </row>
    <row r="26" spans="1:12" x14ac:dyDescent="0.2">
      <c r="A26" s="3">
        <v>43800</v>
      </c>
      <c r="B26" s="2">
        <v>1425.4000000000015</v>
      </c>
      <c r="C26" s="2">
        <v>1869.4000000000015</v>
      </c>
      <c r="D26" s="2">
        <v>76.600000000000136</v>
      </c>
      <c r="E26" s="2">
        <v>538.30000000000018</v>
      </c>
      <c r="F26" s="2">
        <v>3.3999999999999986</v>
      </c>
      <c r="G26" s="2">
        <v>1889.1999999999971</v>
      </c>
      <c r="H26" s="2">
        <v>346.89999999999964</v>
      </c>
      <c r="I26" s="2">
        <v>1169.3000000000006</v>
      </c>
      <c r="J26" s="2">
        <v>439.60000000000014</v>
      </c>
      <c r="K26" s="2">
        <v>6.4999999999999858</v>
      </c>
      <c r="L26">
        <v>7764.6000000000131</v>
      </c>
    </row>
    <row r="27" spans="1:12" x14ac:dyDescent="0.2">
      <c r="A27" s="3">
        <v>43831</v>
      </c>
      <c r="B27" s="2">
        <v>1269.6999999999998</v>
      </c>
      <c r="C27" s="2">
        <v>686.2</v>
      </c>
      <c r="D27" s="2">
        <v>72.100000000000009</v>
      </c>
      <c r="E27" s="2">
        <v>131.9</v>
      </c>
      <c r="F27" s="2">
        <v>1</v>
      </c>
      <c r="G27" s="2">
        <v>2319.5</v>
      </c>
      <c r="H27" s="2">
        <v>115.7</v>
      </c>
      <c r="I27" s="2">
        <v>114.5</v>
      </c>
      <c r="J27" s="2">
        <v>47.2</v>
      </c>
      <c r="K27" s="2">
        <v>-0.9</v>
      </c>
      <c r="L27">
        <v>4756.8999999999987</v>
      </c>
    </row>
    <row r="28" spans="1:12" x14ac:dyDescent="0.2">
      <c r="A28" s="3">
        <v>43862</v>
      </c>
      <c r="B28" s="2">
        <v>1386.7000000000003</v>
      </c>
      <c r="C28" s="2">
        <v>974.99999999999977</v>
      </c>
      <c r="D28" s="2">
        <v>110.50000000000001</v>
      </c>
      <c r="E28" s="2">
        <v>299.60000000000002</v>
      </c>
      <c r="F28" s="2">
        <v>1.2999999999999998</v>
      </c>
      <c r="G28" s="2">
        <v>1944.1999999999998</v>
      </c>
      <c r="H28" s="2">
        <v>288.29999999999995</v>
      </c>
      <c r="I28" s="2">
        <v>180.60000000000002</v>
      </c>
      <c r="J28" s="2">
        <v>142.30000000000001</v>
      </c>
      <c r="K28" s="2">
        <v>-2.4</v>
      </c>
      <c r="L28">
        <v>5326.1000000000013</v>
      </c>
    </row>
    <row r="29" spans="1:12" x14ac:dyDescent="0.2">
      <c r="A29" s="3">
        <v>43891</v>
      </c>
      <c r="B29" s="2">
        <v>1445.4</v>
      </c>
      <c r="C29" s="2">
        <v>1002.8000000000002</v>
      </c>
      <c r="D29" s="2">
        <v>85.799999999999955</v>
      </c>
      <c r="E29" s="2">
        <v>247</v>
      </c>
      <c r="F29" s="2">
        <v>0.40000000000000036</v>
      </c>
      <c r="G29" s="2">
        <v>1970.2000000000007</v>
      </c>
      <c r="H29" s="2">
        <v>252.50000000000017</v>
      </c>
      <c r="I29" s="2">
        <v>196.89999999999998</v>
      </c>
      <c r="J29" s="2">
        <v>143</v>
      </c>
      <c r="K29" s="2">
        <v>-2.5</v>
      </c>
      <c r="L29">
        <v>5341.5</v>
      </c>
    </row>
    <row r="30" spans="1:12" x14ac:dyDescent="0.2">
      <c r="A30" s="3">
        <v>43922</v>
      </c>
      <c r="B30" s="2">
        <v>1421.3000000000002</v>
      </c>
      <c r="C30" s="2">
        <v>1125</v>
      </c>
      <c r="D30" s="2">
        <v>425</v>
      </c>
      <c r="E30" s="2">
        <v>376.90000000000009</v>
      </c>
      <c r="F30" s="2">
        <v>1.2999999999999998</v>
      </c>
      <c r="G30" s="2">
        <v>2007.3000000000002</v>
      </c>
      <c r="H30" s="2">
        <v>225.99999999999977</v>
      </c>
      <c r="I30" s="2">
        <v>274.10000000000002</v>
      </c>
      <c r="J30" s="2">
        <v>142.10000000000002</v>
      </c>
      <c r="K30" s="2">
        <v>0.70000000000000018</v>
      </c>
      <c r="L30">
        <v>5999.7000000000007</v>
      </c>
    </row>
    <row r="31" spans="1:12" x14ac:dyDescent="0.2">
      <c r="A31" s="3">
        <v>43952</v>
      </c>
      <c r="B31" s="2">
        <v>1365.0999999999995</v>
      </c>
      <c r="C31" s="2">
        <v>817</v>
      </c>
      <c r="D31" s="2">
        <v>78.299999999999955</v>
      </c>
      <c r="E31" s="2">
        <v>247.19999999999982</v>
      </c>
      <c r="F31" s="2">
        <v>4.1999999999999993</v>
      </c>
      <c r="G31" s="2">
        <v>1975.1999999999989</v>
      </c>
      <c r="H31" s="2">
        <v>272.70000000000016</v>
      </c>
      <c r="I31" s="2">
        <v>288.49999999999989</v>
      </c>
      <c r="J31" s="2">
        <v>89.100000000000023</v>
      </c>
      <c r="K31" s="2">
        <v>-4.9000000000000004</v>
      </c>
      <c r="L31">
        <v>5132.4000000000015</v>
      </c>
    </row>
    <row r="32" spans="1:12" x14ac:dyDescent="0.2">
      <c r="A32" s="3">
        <v>43983</v>
      </c>
      <c r="B32" s="2">
        <v>1920.9000000000005</v>
      </c>
      <c r="C32" s="2">
        <v>903.19999999999982</v>
      </c>
      <c r="D32" s="2">
        <v>70</v>
      </c>
      <c r="E32" s="2">
        <v>341</v>
      </c>
      <c r="F32" s="2">
        <v>2.5</v>
      </c>
      <c r="G32" s="2">
        <v>2000</v>
      </c>
      <c r="H32" s="2">
        <v>275.5</v>
      </c>
      <c r="I32" s="2">
        <v>327.70000000000005</v>
      </c>
      <c r="J32" s="2">
        <v>116.09999999999991</v>
      </c>
      <c r="K32" s="2">
        <v>-10.5</v>
      </c>
      <c r="L32">
        <v>5946.4000000000015</v>
      </c>
    </row>
    <row r="33" spans="1:12" x14ac:dyDescent="0.2">
      <c r="A33" s="3">
        <v>44013</v>
      </c>
      <c r="B33" s="2">
        <v>1287.5</v>
      </c>
      <c r="C33" s="2">
        <v>1155.7000000000007</v>
      </c>
      <c r="D33" s="2">
        <v>82.000000000000114</v>
      </c>
      <c r="E33" s="2">
        <v>436.80000000000018</v>
      </c>
      <c r="F33" s="2">
        <v>31.099999999999998</v>
      </c>
      <c r="G33" s="2">
        <v>1982.7999999999993</v>
      </c>
      <c r="H33" s="2">
        <v>340.89999999999986</v>
      </c>
      <c r="I33" s="2">
        <v>437.20000000000005</v>
      </c>
      <c r="J33" s="2">
        <v>147.29999999999995</v>
      </c>
      <c r="K33" s="2">
        <v>-5.5999999999999979</v>
      </c>
      <c r="L33">
        <v>5895.7000000000007</v>
      </c>
    </row>
    <row r="34" spans="1:12" x14ac:dyDescent="0.2">
      <c r="A34" s="3">
        <v>44044</v>
      </c>
      <c r="B34" s="2">
        <v>1048.1999999999989</v>
      </c>
      <c r="C34" s="2">
        <v>997.09999999999854</v>
      </c>
      <c r="D34" s="2">
        <v>72.200000000000045</v>
      </c>
      <c r="E34" s="2">
        <v>746.40000000000009</v>
      </c>
      <c r="F34" s="2">
        <v>14.100000000000001</v>
      </c>
      <c r="G34" s="2">
        <v>1985.1000000000022</v>
      </c>
      <c r="H34" s="2">
        <v>158.20000000000005</v>
      </c>
      <c r="I34" s="2">
        <v>404.5</v>
      </c>
      <c r="J34" s="2">
        <v>128.30000000000018</v>
      </c>
      <c r="K34" s="2">
        <v>-2.3000000000000007</v>
      </c>
      <c r="L34">
        <v>5551.7999999999956</v>
      </c>
    </row>
    <row r="35" spans="1:12" x14ac:dyDescent="0.2">
      <c r="A35" s="3">
        <v>44075</v>
      </c>
      <c r="B35" s="2">
        <v>1212.2999999999993</v>
      </c>
      <c r="C35" s="2">
        <v>1096.2000000000016</v>
      </c>
      <c r="D35" s="2">
        <v>103.20000000000005</v>
      </c>
      <c r="E35" s="2">
        <v>821.5</v>
      </c>
      <c r="F35" s="2">
        <v>72</v>
      </c>
      <c r="G35" s="2">
        <v>1973.0999999999967</v>
      </c>
      <c r="H35" s="2">
        <v>125.29999999999995</v>
      </c>
      <c r="I35" s="2">
        <v>465.90000000000009</v>
      </c>
      <c r="J35" s="2">
        <v>158.19999999999982</v>
      </c>
      <c r="K35" s="2">
        <v>-4.8999999999999986</v>
      </c>
      <c r="L35">
        <v>6022.7999999999956</v>
      </c>
    </row>
    <row r="36" spans="1:12" x14ac:dyDescent="0.2">
      <c r="A36" s="3">
        <v>44105</v>
      </c>
      <c r="B36" s="2">
        <v>1397.7000000000007</v>
      </c>
      <c r="C36" s="2">
        <v>1356.2999999999993</v>
      </c>
      <c r="D36" s="2">
        <v>411.39999999999986</v>
      </c>
      <c r="E36" s="2">
        <v>400.69999999999982</v>
      </c>
      <c r="F36" s="2">
        <v>6.9000000000000057</v>
      </c>
      <c r="G36" s="2">
        <v>2654.4000000000051</v>
      </c>
      <c r="H36" s="2">
        <v>295.40000000000055</v>
      </c>
      <c r="I36" s="2">
        <v>554.40000000000009</v>
      </c>
      <c r="J36" s="2">
        <v>178.20000000000005</v>
      </c>
      <c r="K36" s="2">
        <v>-11.300000000000004</v>
      </c>
      <c r="L36">
        <v>7244.1000000000058</v>
      </c>
    </row>
    <row r="37" spans="1:12" x14ac:dyDescent="0.2">
      <c r="A37" s="3">
        <v>44136</v>
      </c>
      <c r="B37" s="2">
        <v>1428.7000000000007</v>
      </c>
      <c r="C37" s="2">
        <v>1107.5</v>
      </c>
      <c r="D37" s="2">
        <v>107.40000000000009</v>
      </c>
      <c r="E37" s="2">
        <v>646.90000000000055</v>
      </c>
      <c r="F37" s="2">
        <v>31.299999999999983</v>
      </c>
      <c r="G37" s="2">
        <v>2050.9999999999964</v>
      </c>
      <c r="H37" s="2">
        <v>313.99999999999955</v>
      </c>
      <c r="I37" s="2">
        <v>618.59999999999991</v>
      </c>
      <c r="J37" s="2">
        <v>247.20000000000005</v>
      </c>
      <c r="K37" s="2">
        <v>-16.800000000000004</v>
      </c>
      <c r="L37">
        <v>6535.7999999999811</v>
      </c>
    </row>
    <row r="38" spans="1:12" x14ac:dyDescent="0.2">
      <c r="A38" s="3">
        <v>44166</v>
      </c>
      <c r="B38" s="2">
        <v>2030.9000000000015</v>
      </c>
      <c r="C38" s="2">
        <v>1797.1000000000004</v>
      </c>
      <c r="D38" s="2">
        <v>88.799999999999955</v>
      </c>
      <c r="E38" s="2">
        <v>850.39999999999964</v>
      </c>
      <c r="F38" s="2">
        <v>82.4</v>
      </c>
      <c r="G38" s="2">
        <v>2145.1000000000022</v>
      </c>
      <c r="H38" s="2">
        <v>424</v>
      </c>
      <c r="I38" s="2">
        <v>1643.3000000000006</v>
      </c>
      <c r="J38" s="2">
        <v>495.69999999999982</v>
      </c>
      <c r="K38" s="2">
        <v>-41.099999999999994</v>
      </c>
      <c r="L38">
        <v>9516.6000000000204</v>
      </c>
    </row>
    <row r="39" spans="1:12" x14ac:dyDescent="0.2">
      <c r="A39" s="3">
        <v>44197</v>
      </c>
      <c r="B39" s="2">
        <v>1370.9</v>
      </c>
      <c r="C39" s="2">
        <v>1018.0999999999999</v>
      </c>
      <c r="D39" s="2">
        <v>73.2</v>
      </c>
      <c r="E39" s="2">
        <v>200.1</v>
      </c>
      <c r="F39" s="2">
        <v>12.7</v>
      </c>
      <c r="G39" s="2">
        <v>2172.2999999999997</v>
      </c>
      <c r="H39" s="2">
        <v>50.099999999999994</v>
      </c>
      <c r="I39" s="2">
        <v>274.80000000000007</v>
      </c>
      <c r="J39" s="2">
        <v>52.1</v>
      </c>
      <c r="K39" s="2">
        <v>-5.4</v>
      </c>
      <c r="L39">
        <v>5218.8999999999996</v>
      </c>
    </row>
    <row r="40" spans="1:12" x14ac:dyDescent="0.2">
      <c r="A40" s="3">
        <v>44228</v>
      </c>
      <c r="B40" s="2">
        <v>1515.6</v>
      </c>
      <c r="C40" s="2">
        <v>1206.5999999999999</v>
      </c>
      <c r="D40" s="2">
        <v>103.40000000000002</v>
      </c>
      <c r="E40" s="2">
        <v>233.70000000000002</v>
      </c>
      <c r="F40" s="2">
        <v>25.500000000000004</v>
      </c>
      <c r="G40" s="2">
        <v>2209.8000000000006</v>
      </c>
      <c r="H40" s="2">
        <v>360.30000000000007</v>
      </c>
      <c r="I40" s="2">
        <v>148.39999999999992</v>
      </c>
      <c r="J40" s="2">
        <v>112.4</v>
      </c>
      <c r="K40" s="2">
        <v>-17.899999999999999</v>
      </c>
      <c r="L40">
        <v>5897.8000000000011</v>
      </c>
    </row>
    <row r="41" spans="1:12" x14ac:dyDescent="0.2">
      <c r="A41" s="3">
        <v>44256</v>
      </c>
      <c r="B41" s="2">
        <v>1540.6000000000004</v>
      </c>
      <c r="C41" s="2">
        <v>1410.4</v>
      </c>
      <c r="D41" s="2">
        <v>103.20000000000005</v>
      </c>
      <c r="E41" s="2">
        <v>230.40000000000003</v>
      </c>
      <c r="F41" s="2">
        <v>43.8</v>
      </c>
      <c r="G41" s="2">
        <v>2221.5999999999995</v>
      </c>
      <c r="H41" s="2">
        <v>272.40000000000003</v>
      </c>
      <c r="I41" s="2">
        <v>226.7</v>
      </c>
      <c r="J41" s="2">
        <v>169.5</v>
      </c>
      <c r="K41" s="2">
        <v>-40.700000000000003</v>
      </c>
      <c r="L41">
        <v>6177.8999999999942</v>
      </c>
    </row>
    <row r="42" spans="1:12" x14ac:dyDescent="0.2">
      <c r="A42" s="3">
        <v>44287</v>
      </c>
      <c r="B42" s="2">
        <v>1561.8999999999996</v>
      </c>
      <c r="C42" s="2">
        <v>1383.1</v>
      </c>
      <c r="D42" s="2">
        <v>419.19999999999993</v>
      </c>
      <c r="E42" s="2">
        <v>151.29999999999995</v>
      </c>
      <c r="F42" s="2">
        <v>28.700000000000003</v>
      </c>
      <c r="G42" s="2">
        <v>3098.9999999999991</v>
      </c>
      <c r="H42" s="2">
        <v>274.29999999999995</v>
      </c>
      <c r="I42" s="2">
        <v>339.9</v>
      </c>
      <c r="J42" s="2">
        <v>197.79999999999995</v>
      </c>
      <c r="K42" s="2">
        <v>-6.9000000000000057</v>
      </c>
      <c r="L42">
        <v>7448.3000000000065</v>
      </c>
    </row>
    <row r="43" spans="1:12" x14ac:dyDescent="0.2">
      <c r="A43" s="3">
        <v>44317</v>
      </c>
      <c r="B43" s="2">
        <v>1526.0999999999995</v>
      </c>
      <c r="C43" s="2">
        <v>1365.7000000000007</v>
      </c>
      <c r="D43" s="2">
        <v>134.80000000000007</v>
      </c>
      <c r="E43" s="2">
        <v>234.29999999999995</v>
      </c>
      <c r="F43" s="2">
        <v>39.299999999999997</v>
      </c>
      <c r="G43" s="2">
        <v>2234.6000000000022</v>
      </c>
      <c r="H43" s="2">
        <v>394.4</v>
      </c>
      <c r="I43" s="2">
        <v>424.20000000000005</v>
      </c>
      <c r="J43" s="2">
        <v>161.60000000000002</v>
      </c>
      <c r="K43" s="2">
        <v>-14.799999999999997</v>
      </c>
      <c r="L43">
        <v>6500.200000000008</v>
      </c>
    </row>
    <row r="44" spans="1:12" x14ac:dyDescent="0.2">
      <c r="A44" s="3">
        <v>44348</v>
      </c>
      <c r="B44" s="2">
        <v>2187.3000000000002</v>
      </c>
      <c r="C44" s="2">
        <v>1349.5999999999995</v>
      </c>
      <c r="D44" s="2">
        <v>100.49999999999989</v>
      </c>
      <c r="E44" s="2">
        <v>293.59999999999991</v>
      </c>
      <c r="F44" s="2">
        <v>47</v>
      </c>
      <c r="G44" s="2">
        <v>2147.2999999999993</v>
      </c>
      <c r="H44" s="2">
        <v>336.5</v>
      </c>
      <c r="I44" s="2">
        <v>517.69999999999982</v>
      </c>
      <c r="J44" s="2">
        <v>166.79999999999995</v>
      </c>
      <c r="K44" s="2">
        <v>-9.2999999999999972</v>
      </c>
      <c r="L44">
        <v>7136.9999999999964</v>
      </c>
    </row>
    <row r="45" spans="1:12" x14ac:dyDescent="0.2">
      <c r="A45" s="3">
        <v>44378</v>
      </c>
      <c r="B45" s="2">
        <v>1556.5</v>
      </c>
      <c r="C45" s="2">
        <v>1266.2999999999993</v>
      </c>
      <c r="D45" s="2">
        <v>115.60000000000014</v>
      </c>
      <c r="E45" s="2">
        <v>195.10000000000014</v>
      </c>
      <c r="F45" s="2">
        <v>63.199999999999989</v>
      </c>
      <c r="G45" s="2">
        <v>2157.6999999999989</v>
      </c>
      <c r="H45" s="2">
        <v>376.80000000000018</v>
      </c>
      <c r="I45" s="2">
        <v>425.90000000000009</v>
      </c>
      <c r="J45" s="2">
        <v>161.00000000000011</v>
      </c>
      <c r="K45" s="2">
        <v>-6.2000000000000028</v>
      </c>
      <c r="L45">
        <v>6311.8999999999869</v>
      </c>
    </row>
    <row r="46" spans="1:12" x14ac:dyDescent="0.2">
      <c r="A46" s="3">
        <v>44409</v>
      </c>
      <c r="B46" s="2">
        <v>1206.2000000000007</v>
      </c>
      <c r="C46" s="2">
        <v>1242.3999999999996</v>
      </c>
      <c r="D46" s="2">
        <v>120.20000000000005</v>
      </c>
      <c r="E46" s="2">
        <v>98.400000000000091</v>
      </c>
      <c r="F46" s="2">
        <v>12.700000000000045</v>
      </c>
      <c r="G46" s="2">
        <v>2109.1000000000022</v>
      </c>
      <c r="H46" s="2">
        <v>128.39999999999964</v>
      </c>
      <c r="I46" s="2">
        <v>402.00000000000045</v>
      </c>
      <c r="J46" s="2">
        <v>109.70000000000005</v>
      </c>
      <c r="K46" s="2">
        <v>-2.2999999999999972</v>
      </c>
      <c r="L46">
        <v>5426.8000000000175</v>
      </c>
    </row>
    <row r="47" spans="1:12" x14ac:dyDescent="0.2">
      <c r="A47" s="3">
        <v>44440</v>
      </c>
      <c r="B47" s="2">
        <v>1272.1000000000004</v>
      </c>
      <c r="C47" s="2">
        <v>1267</v>
      </c>
      <c r="D47" s="2">
        <v>125.19999999999982</v>
      </c>
      <c r="E47" s="2">
        <v>491.29999999999973</v>
      </c>
      <c r="F47" s="2">
        <v>28.199999999999989</v>
      </c>
      <c r="G47" s="2">
        <v>2181.5</v>
      </c>
      <c r="H47" s="2">
        <v>175.40000000000055</v>
      </c>
      <c r="I47" s="2">
        <v>675.69999999999982</v>
      </c>
      <c r="J47" s="2">
        <v>197.79999999999973</v>
      </c>
      <c r="K47" s="2">
        <v>-9.5</v>
      </c>
      <c r="L47">
        <v>6404.7000000000044</v>
      </c>
    </row>
    <row r="48" spans="1:12" x14ac:dyDescent="0.2">
      <c r="A48" s="3">
        <v>44470</v>
      </c>
      <c r="B48" s="2">
        <v>1506.8999999999996</v>
      </c>
      <c r="C48" s="2">
        <v>1351.2000000000007</v>
      </c>
      <c r="D48" s="2">
        <v>410.5</v>
      </c>
      <c r="E48" s="2">
        <v>273.70000000000027</v>
      </c>
      <c r="F48" s="2">
        <v>85.800000000000011</v>
      </c>
      <c r="G48" s="2">
        <v>2413.2999999999956</v>
      </c>
      <c r="H48" s="2">
        <v>302.29999999999973</v>
      </c>
      <c r="I48" s="2">
        <v>628.09999999999945</v>
      </c>
      <c r="J48" s="2">
        <v>208.00000000000023</v>
      </c>
      <c r="K48" s="2">
        <v>-33.700000000000017</v>
      </c>
      <c r="L48">
        <v>7146.0999999999694</v>
      </c>
    </row>
    <row r="49" spans="1:12" x14ac:dyDescent="0.2">
      <c r="A49" s="3">
        <v>44501</v>
      </c>
      <c r="B49" s="2">
        <v>1521.9999999999982</v>
      </c>
      <c r="C49" s="2">
        <v>1599.8000000000011</v>
      </c>
      <c r="D49" s="2">
        <v>136.90000000000009</v>
      </c>
      <c r="E49" s="2">
        <v>402.49999999999955</v>
      </c>
      <c r="F49" s="2">
        <v>72.699999999999932</v>
      </c>
      <c r="G49" s="2">
        <v>2386.0000000000036</v>
      </c>
      <c r="H49" s="2">
        <v>202.69999999999982</v>
      </c>
      <c r="I49" s="2">
        <v>771.89999999999964</v>
      </c>
      <c r="J49" s="2">
        <v>248.20000000000005</v>
      </c>
      <c r="K49" s="2">
        <v>-12.399999999999977</v>
      </c>
      <c r="L49">
        <v>7330.3000000000247</v>
      </c>
    </row>
    <row r="50" spans="1:12" x14ac:dyDescent="0.2">
      <c r="A50" s="3">
        <v>44531</v>
      </c>
      <c r="B50" s="2">
        <v>2009.5</v>
      </c>
      <c r="C50" s="2">
        <v>2222.3999999999978</v>
      </c>
      <c r="D50" s="2">
        <v>98.399999999999864</v>
      </c>
      <c r="E50" s="2">
        <v>903.40000000000009</v>
      </c>
      <c r="F50" s="2">
        <v>289.2000000000001</v>
      </c>
      <c r="G50" s="2">
        <v>2854.7999999999993</v>
      </c>
      <c r="H50" s="2">
        <v>346.00000000000045</v>
      </c>
      <c r="I50" s="2">
        <v>1787.9000000000005</v>
      </c>
      <c r="J50" s="2">
        <v>506.09999999999991</v>
      </c>
      <c r="K50" s="2">
        <v>-4.1000000000000227</v>
      </c>
      <c r="L50">
        <v>11013.600000000006</v>
      </c>
    </row>
    <row r="51" spans="1:12" x14ac:dyDescent="0.2">
      <c r="A51" s="3">
        <v>44562</v>
      </c>
      <c r="B51" s="2">
        <v>1528.9</v>
      </c>
      <c r="C51" s="2">
        <v>1183.5999999999999</v>
      </c>
      <c r="D51" s="2">
        <v>111.60000000000001</v>
      </c>
      <c r="E51" s="2">
        <v>15.1</v>
      </c>
      <c r="F51" s="2">
        <v>3.9</v>
      </c>
      <c r="G51" s="2">
        <v>3233.5</v>
      </c>
      <c r="H51" s="2">
        <v>22.5</v>
      </c>
      <c r="I51" s="2">
        <v>90</v>
      </c>
      <c r="J51" s="2">
        <v>40.700000000000003</v>
      </c>
      <c r="K51" s="2">
        <v>-139.80000000000001</v>
      </c>
      <c r="L51">
        <v>6090.0000000000009</v>
      </c>
    </row>
    <row r="52" spans="1:12" x14ac:dyDescent="0.2">
      <c r="A52" s="3">
        <v>44593</v>
      </c>
      <c r="B52" s="2">
        <v>1562.4999999999995</v>
      </c>
      <c r="C52" s="2">
        <v>1458.4</v>
      </c>
      <c r="D52" s="2">
        <v>129.30000000000001</v>
      </c>
      <c r="E52" s="2">
        <v>324.7</v>
      </c>
      <c r="F52" s="2">
        <v>4.3999999999999986</v>
      </c>
      <c r="G52" s="2">
        <v>3017.8</v>
      </c>
      <c r="H52" s="2">
        <v>414.5</v>
      </c>
      <c r="I52" s="2">
        <v>179.60000000000002</v>
      </c>
      <c r="J52" s="2">
        <v>94.59999999999998</v>
      </c>
      <c r="K52" s="2">
        <v>-8.2999999999999829</v>
      </c>
      <c r="L52">
        <v>7177.4999999999991</v>
      </c>
    </row>
    <row r="53" spans="1:12" x14ac:dyDescent="0.2">
      <c r="A53" s="3">
        <v>44621</v>
      </c>
      <c r="B53" s="2">
        <v>1686.6000000000004</v>
      </c>
      <c r="C53" s="2">
        <v>1620.6999999999998</v>
      </c>
      <c r="D53" s="2">
        <v>139.4</v>
      </c>
      <c r="E53" s="2">
        <v>584.59999999999991</v>
      </c>
      <c r="F53" s="2">
        <v>40.100000000000009</v>
      </c>
      <c r="G53" s="2">
        <v>2959.0000000000009</v>
      </c>
      <c r="H53" s="2">
        <v>345.69999999999993</v>
      </c>
      <c r="I53" s="2">
        <v>396.1</v>
      </c>
      <c r="J53" s="2">
        <v>247.49999999999997</v>
      </c>
      <c r="K53" s="2">
        <v>-5.5999999999999943</v>
      </c>
      <c r="L53">
        <v>8014.0999999999985</v>
      </c>
    </row>
    <row r="54" spans="1:12" x14ac:dyDescent="0.2">
      <c r="A54" s="3">
        <v>44652</v>
      </c>
      <c r="B54" s="5">
        <v>1925.3999999999996</v>
      </c>
      <c r="C54" s="5">
        <v>1482.0999999999995</v>
      </c>
      <c r="D54" s="5">
        <v>421.50000000000006</v>
      </c>
      <c r="E54" s="5">
        <v>218.10000000000002</v>
      </c>
      <c r="F54" s="5">
        <v>22.400000000000006</v>
      </c>
      <c r="G54" s="5">
        <v>3414.7999999999993</v>
      </c>
      <c r="H54" s="5">
        <v>240.10000000000002</v>
      </c>
      <c r="I54" s="5">
        <v>312.20000000000005</v>
      </c>
      <c r="J54" s="5">
        <v>200.60000000000002</v>
      </c>
      <c r="K54" s="5">
        <v>-14.099999999999994</v>
      </c>
      <c r="L54">
        <v>8223.1000000000058</v>
      </c>
    </row>
    <row r="55" spans="1:12" x14ac:dyDescent="0.2">
      <c r="A55" s="3">
        <v>44682</v>
      </c>
      <c r="B55" s="5">
        <v>1726.5000000000018</v>
      </c>
      <c r="C55" s="5">
        <v>1406</v>
      </c>
      <c r="D55" s="5">
        <v>210.49999999999989</v>
      </c>
      <c r="E55" s="5">
        <v>284</v>
      </c>
      <c r="F55" s="5">
        <v>45.499999999999986</v>
      </c>
      <c r="G55" s="5">
        <v>2816.1999999999989</v>
      </c>
      <c r="H55" s="5">
        <v>219.09999999999991</v>
      </c>
      <c r="I55" s="5">
        <v>449</v>
      </c>
      <c r="J55" s="5">
        <v>177.80000000000007</v>
      </c>
      <c r="K55" s="5">
        <v>-11.600000000000023</v>
      </c>
      <c r="L55">
        <v>7323</v>
      </c>
    </row>
    <row r="56" spans="1:12" x14ac:dyDescent="0.2">
      <c r="A56" s="3">
        <v>44713</v>
      </c>
      <c r="B56" s="5">
        <v>2296.0999999999985</v>
      </c>
      <c r="C56" s="5">
        <v>1457</v>
      </c>
      <c r="D56" s="5">
        <v>158.70000000000005</v>
      </c>
      <c r="E56" s="5">
        <v>433.90000000000009</v>
      </c>
      <c r="F56" s="5">
        <v>60.899999999999991</v>
      </c>
      <c r="G56" s="5">
        <v>2802.1000000000022</v>
      </c>
      <c r="H56" s="5">
        <v>431.5</v>
      </c>
      <c r="I56" s="5">
        <v>494.40000000000009</v>
      </c>
      <c r="J56" s="5">
        <v>211.09999999999991</v>
      </c>
      <c r="K56" s="5">
        <v>-43</v>
      </c>
      <c r="L56">
        <v>8302.6999999999898</v>
      </c>
    </row>
    <row r="57" spans="1:12" x14ac:dyDescent="0.2">
      <c r="A57" s="3">
        <v>44743</v>
      </c>
      <c r="B57" s="5">
        <v>1738.8999999999996</v>
      </c>
      <c r="C57" s="5">
        <v>1495.4000000000015</v>
      </c>
      <c r="D57" s="5">
        <v>139.89999999999986</v>
      </c>
      <c r="E57" s="5">
        <v>341.5</v>
      </c>
      <c r="F57" s="5">
        <v>85.300000000000011</v>
      </c>
      <c r="G57" s="5">
        <v>2833.0999999999985</v>
      </c>
      <c r="H57" s="5">
        <v>267.10000000000014</v>
      </c>
      <c r="I57" s="5">
        <v>474.39999999999964</v>
      </c>
      <c r="J57" s="5">
        <v>161.5</v>
      </c>
      <c r="K57" s="5">
        <v>-8.7999999999999829</v>
      </c>
      <c r="L57">
        <v>7528.3000000000247</v>
      </c>
    </row>
    <row r="58" spans="1:12" x14ac:dyDescent="0.2">
      <c r="A58" s="3">
        <v>44774</v>
      </c>
      <c r="B58" s="5">
        <v>1415.1000000000004</v>
      </c>
      <c r="C58" s="5">
        <v>1358.5</v>
      </c>
      <c r="D58" s="5">
        <v>185.20000000000005</v>
      </c>
      <c r="E58" s="5">
        <v>441.59999999999991</v>
      </c>
      <c r="F58" s="5">
        <v>62.399999999999977</v>
      </c>
      <c r="G58" s="5">
        <v>2814.4000000000015</v>
      </c>
      <c r="H58" s="5">
        <v>171.30000000000018</v>
      </c>
      <c r="I58" s="5">
        <v>587.20000000000027</v>
      </c>
      <c r="J58" s="5">
        <v>166</v>
      </c>
      <c r="K58" s="5">
        <v>-9.8000000000000114</v>
      </c>
      <c r="L58">
        <v>7191.8999999999796</v>
      </c>
    </row>
    <row r="59" spans="1:12" x14ac:dyDescent="0.2">
      <c r="A59" s="3">
        <v>44805</v>
      </c>
      <c r="B59" s="5">
        <v>1378.7000000000007</v>
      </c>
      <c r="C59" s="5">
        <v>1442</v>
      </c>
      <c r="D59" s="5">
        <v>162.39999999999986</v>
      </c>
      <c r="E59" s="5">
        <v>419.09999999999991</v>
      </c>
      <c r="F59" s="5">
        <v>227.10000000000002</v>
      </c>
      <c r="G59" s="5">
        <v>2824.8999999999978</v>
      </c>
      <c r="H59" s="5">
        <v>220.19999999999982</v>
      </c>
      <c r="I59" s="5">
        <v>700.69999999999982</v>
      </c>
      <c r="J59" s="5">
        <v>274.89999999999986</v>
      </c>
      <c r="K59" s="5">
        <v>-15.300000000000011</v>
      </c>
      <c r="L59">
        <v>7634.7000000000044</v>
      </c>
    </row>
    <row r="60" spans="1:12" x14ac:dyDescent="0.2">
      <c r="A60" s="3">
        <v>44835</v>
      </c>
      <c r="B60" s="5">
        <v>1678.2999999999993</v>
      </c>
      <c r="C60" s="5">
        <v>1539.1999999999971</v>
      </c>
      <c r="D60" s="5">
        <v>459.20000000000005</v>
      </c>
      <c r="E60" s="5">
        <v>388.80000000000018</v>
      </c>
      <c r="F60" s="5">
        <v>135.5</v>
      </c>
      <c r="G60" s="5">
        <v>3833.6000000000058</v>
      </c>
      <c r="H60" s="5">
        <v>295.49999999999955</v>
      </c>
      <c r="I60" s="5">
        <v>579.50000000000045</v>
      </c>
      <c r="J60" s="5">
        <v>388.5</v>
      </c>
      <c r="K60" s="5">
        <v>-41.899999999999977</v>
      </c>
      <c r="L60">
        <v>9256.1999999999971</v>
      </c>
    </row>
    <row r="61" spans="1:12" x14ac:dyDescent="0.2">
      <c r="A61" s="3">
        <v>44866</v>
      </c>
      <c r="B61" s="5">
        <v>1811.3000000000029</v>
      </c>
      <c r="C61" s="5">
        <v>1682.3000000000029</v>
      </c>
      <c r="D61" s="5">
        <v>411.90000000000009</v>
      </c>
      <c r="E61" s="5">
        <v>332.19999999999982</v>
      </c>
      <c r="F61" s="5">
        <v>141.40000000000009</v>
      </c>
      <c r="G61" s="5">
        <v>3452.0999999999949</v>
      </c>
      <c r="H61" s="5">
        <v>381.80000000000018</v>
      </c>
      <c r="I61" s="5">
        <v>1005.4999999999991</v>
      </c>
      <c r="J61" s="5">
        <v>566.5</v>
      </c>
      <c r="K61" s="5">
        <v>-10.400000000000034</v>
      </c>
      <c r="L61">
        <v>9774.5999999999913</v>
      </c>
    </row>
    <row r="62" spans="1:12" x14ac:dyDescent="0.2">
      <c r="A62" s="3">
        <v>44896</v>
      </c>
      <c r="B62" s="5">
        <v>2651.3999999999978</v>
      </c>
      <c r="C62" s="5">
        <v>2476.6000000000022</v>
      </c>
      <c r="D62" s="5">
        <v>206.90000000000009</v>
      </c>
      <c r="E62" s="5">
        <v>773.30000000000064</v>
      </c>
      <c r="F62" s="5">
        <v>647.5</v>
      </c>
      <c r="G62" s="5">
        <v>3741.9000000000015</v>
      </c>
      <c r="H62" s="5">
        <v>396.70000000000027</v>
      </c>
      <c r="I62" s="5">
        <v>2318.7000000000007</v>
      </c>
      <c r="J62" s="5">
        <v>661</v>
      </c>
      <c r="K62" s="5">
        <v>-15.899999999999977</v>
      </c>
      <c r="L62">
        <v>13858.10000000002</v>
      </c>
    </row>
    <row r="63" spans="1:12" x14ac:dyDescent="0.2">
      <c r="A63" s="3">
        <v>44927</v>
      </c>
      <c r="B63" s="5">
        <v>1615.2</v>
      </c>
      <c r="C63" s="5">
        <v>1338.3999999999999</v>
      </c>
      <c r="D63" s="5">
        <v>265.10000000000002</v>
      </c>
      <c r="E63" s="5">
        <v>175.89999999999998</v>
      </c>
      <c r="F63" s="5">
        <v>11.1</v>
      </c>
      <c r="G63" s="5">
        <v>3743.9</v>
      </c>
      <c r="H63" s="5">
        <v>29.7</v>
      </c>
      <c r="I63" s="5">
        <v>118.1</v>
      </c>
      <c r="J63" s="5">
        <v>55.4</v>
      </c>
      <c r="K63" s="5">
        <v>-11.2</v>
      </c>
      <c r="L63">
        <v>7341.6000000000022</v>
      </c>
    </row>
    <row r="64" spans="1:12" x14ac:dyDescent="0.2">
      <c r="A64" s="3">
        <v>44958</v>
      </c>
      <c r="B64" s="5">
        <v>1885.3</v>
      </c>
      <c r="C64" s="5">
        <v>1640.6000000000001</v>
      </c>
      <c r="D64" s="5">
        <v>373.99999999999989</v>
      </c>
      <c r="E64" s="5">
        <v>310.3</v>
      </c>
      <c r="F64" s="5">
        <v>49.800000000000004</v>
      </c>
      <c r="G64" s="5">
        <v>3766.6</v>
      </c>
      <c r="H64" s="5">
        <v>510.50000000000006</v>
      </c>
      <c r="I64" s="5">
        <v>313.5</v>
      </c>
      <c r="J64" s="5">
        <v>190.99999999999997</v>
      </c>
      <c r="K64" s="5">
        <v>-94.3</v>
      </c>
      <c r="L64">
        <v>8947.2999999999938</v>
      </c>
    </row>
    <row r="65" spans="1:12" x14ac:dyDescent="0.2">
      <c r="A65" s="3">
        <v>44986</v>
      </c>
      <c r="B65" s="5">
        <v>1966.8000000000002</v>
      </c>
      <c r="C65" s="5">
        <v>1923</v>
      </c>
      <c r="D65" s="5">
        <v>280.80000000000007</v>
      </c>
      <c r="E65" s="5">
        <v>473.00000000000006</v>
      </c>
      <c r="F65" s="5">
        <v>76.400000000000006</v>
      </c>
      <c r="G65" s="5">
        <v>4032.1000000000004</v>
      </c>
      <c r="H65" s="5">
        <v>269.09999999999991</v>
      </c>
      <c r="I65" s="5">
        <v>463.40000000000003</v>
      </c>
      <c r="J65" s="5">
        <v>205.89999999999998</v>
      </c>
      <c r="K65" s="5">
        <v>-40</v>
      </c>
      <c r="L65">
        <v>9650.5000000000018</v>
      </c>
    </row>
    <row r="66" spans="1:12" x14ac:dyDescent="0.2">
      <c r="A66" s="3">
        <v>45017</v>
      </c>
      <c r="B66" s="5">
        <v>2053.6999999999998</v>
      </c>
      <c r="C66" s="5">
        <v>1466.6000000000004</v>
      </c>
      <c r="D66" s="5">
        <v>585.4</v>
      </c>
      <c r="E66" s="5">
        <v>492.69999999999982</v>
      </c>
      <c r="F66" s="5">
        <v>160.89999999999998</v>
      </c>
      <c r="G66" s="5">
        <v>4363.7000000000007</v>
      </c>
      <c r="H66" s="5">
        <v>305.30000000000018</v>
      </c>
      <c r="I66" s="5">
        <v>488.90000000000009</v>
      </c>
      <c r="J66" s="5">
        <v>179.20000000000005</v>
      </c>
      <c r="K66" s="5">
        <v>-65</v>
      </c>
      <c r="L66">
        <v>10031.400000000005</v>
      </c>
    </row>
    <row r="67" spans="1:12" x14ac:dyDescent="0.2">
      <c r="A67" s="3">
        <v>45047</v>
      </c>
      <c r="B67" s="5">
        <v>1968.2999999999993</v>
      </c>
      <c r="C67" s="5">
        <v>1677.8000000000002</v>
      </c>
      <c r="D67" s="5">
        <v>643.00000000000023</v>
      </c>
      <c r="E67" s="5">
        <v>276.30000000000018</v>
      </c>
      <c r="F67" s="5">
        <v>134.19999999999999</v>
      </c>
      <c r="G67" s="5">
        <v>3346.899999999996</v>
      </c>
      <c r="H67" s="5">
        <v>327.5</v>
      </c>
      <c r="I67" s="5">
        <v>583.5</v>
      </c>
      <c r="J67" s="5">
        <v>219.79999999999995</v>
      </c>
      <c r="K67" s="5">
        <v>-72.399999999999977</v>
      </c>
      <c r="L67">
        <v>9104.9000000000015</v>
      </c>
    </row>
    <row r="68" spans="1:12" x14ac:dyDescent="0.2">
      <c r="A68" s="3">
        <v>45078</v>
      </c>
      <c r="B68" s="5">
        <v>2712.9000000000015</v>
      </c>
      <c r="C68" s="5">
        <v>1327.4000000000005</v>
      </c>
      <c r="D68" s="5">
        <v>444.79999999999973</v>
      </c>
      <c r="E68" s="5">
        <v>378.60000000000014</v>
      </c>
      <c r="F68" s="5">
        <v>100.20000000000005</v>
      </c>
      <c r="G68" s="5">
        <v>3220.9000000000051</v>
      </c>
      <c r="H68" s="5">
        <v>463.39999999999986</v>
      </c>
      <c r="I68" s="5">
        <v>389</v>
      </c>
      <c r="J68" s="5">
        <v>166.10000000000002</v>
      </c>
      <c r="K68" s="5">
        <v>-52.400000000000034</v>
      </c>
      <c r="L68">
        <v>9150.9000000000087</v>
      </c>
    </row>
    <row r="69" spans="1:12" x14ac:dyDescent="0.2">
      <c r="A69" s="3">
        <v>45108</v>
      </c>
      <c r="B69" s="5">
        <v>2062.7000000000007</v>
      </c>
      <c r="C69" s="5">
        <v>1543.4999999999982</v>
      </c>
      <c r="D69" s="5">
        <v>339.69999999999982</v>
      </c>
      <c r="E69" s="5">
        <v>699.59999999999991</v>
      </c>
      <c r="F69" s="5">
        <v>615.19999999999993</v>
      </c>
      <c r="G69" s="5">
        <v>3322.5999999999985</v>
      </c>
      <c r="H69" s="5">
        <v>305.09999999999991</v>
      </c>
      <c r="I69" s="5">
        <v>910.39999999999964</v>
      </c>
      <c r="J69" s="5">
        <v>233.89999999999998</v>
      </c>
      <c r="K69" s="5">
        <v>-46.799999999999955</v>
      </c>
      <c r="L69">
        <v>9985.8999999999942</v>
      </c>
    </row>
    <row r="70" spans="1:12" x14ac:dyDescent="0.2">
      <c r="A70" s="3">
        <v>45139</v>
      </c>
      <c r="B70" s="5">
        <v>1608.5999999999985</v>
      </c>
      <c r="C70" s="5">
        <v>1513.1000000000022</v>
      </c>
      <c r="D70" s="5">
        <v>588.40000000000055</v>
      </c>
      <c r="E70" s="5">
        <v>418.30000000000018</v>
      </c>
      <c r="F70" s="5">
        <v>156.20000000000005</v>
      </c>
      <c r="G70" s="5">
        <v>3380.5</v>
      </c>
      <c r="H70" s="5">
        <v>161.00000000000045</v>
      </c>
      <c r="I70" s="5">
        <v>1220.8000000000006</v>
      </c>
      <c r="J70" s="5">
        <v>191.90000000000009</v>
      </c>
      <c r="K70" s="5">
        <v>-54.900000000000034</v>
      </c>
      <c r="L70">
        <v>9183.9000000000015</v>
      </c>
    </row>
    <row r="71" spans="1:12" x14ac:dyDescent="0.2">
      <c r="A71" s="3">
        <v>45170</v>
      </c>
      <c r="B71" s="5">
        <v>1628.1999999999971</v>
      </c>
      <c r="C71" s="5">
        <v>1661.6999999999989</v>
      </c>
      <c r="D71" s="5">
        <v>269.49999999999955</v>
      </c>
      <c r="E71" s="5">
        <v>587.39999999999964</v>
      </c>
      <c r="F71" s="5">
        <v>185</v>
      </c>
      <c r="G71" s="5">
        <v>3252.6000000000022</v>
      </c>
      <c r="H71" s="5">
        <v>193.89999999999918</v>
      </c>
      <c r="I71" s="5">
        <v>750.39999999999964</v>
      </c>
      <c r="J71" s="5">
        <v>244.60000000000014</v>
      </c>
      <c r="K71" s="5">
        <v>-55.100000000000023</v>
      </c>
      <c r="L71">
        <v>8718.1999999999825</v>
      </c>
    </row>
    <row r="72" spans="1:12" x14ac:dyDescent="0.2">
      <c r="A72" s="3">
        <v>45200</v>
      </c>
      <c r="B72" s="5">
        <v>1962.7000000000044</v>
      </c>
      <c r="C72" s="5">
        <v>1502.2000000000007</v>
      </c>
      <c r="D72" s="5">
        <v>693.19999999999982</v>
      </c>
      <c r="E72" s="5">
        <v>644.29999999999973</v>
      </c>
      <c r="F72" s="5">
        <v>319.70000000000005</v>
      </c>
      <c r="G72" s="5">
        <v>3372.7000000000044</v>
      </c>
      <c r="H72" s="5">
        <v>289.40000000000009</v>
      </c>
      <c r="I72" s="5">
        <v>788.39999999999964</v>
      </c>
      <c r="J72" s="5">
        <v>239.29999999999973</v>
      </c>
      <c r="K72" s="5">
        <v>-27.399999999999977</v>
      </c>
      <c r="L72">
        <v>9784.5000000000146</v>
      </c>
    </row>
    <row r="73" spans="1:12" x14ac:dyDescent="0.2">
      <c r="A73" s="3">
        <v>45231</v>
      </c>
      <c r="B73" s="5">
        <v>1967.5</v>
      </c>
      <c r="C73" s="5">
        <v>2027.4999999999982</v>
      </c>
      <c r="D73" s="5">
        <v>692.40000000000055</v>
      </c>
      <c r="E73" s="5">
        <v>897.69999999999982</v>
      </c>
      <c r="F73" s="5">
        <v>203.59999999999991</v>
      </c>
      <c r="G73" s="5">
        <v>3547.0999999999985</v>
      </c>
      <c r="H73" s="5">
        <v>416.50000000000045</v>
      </c>
      <c r="I73" s="5">
        <v>871.30000000000109</v>
      </c>
      <c r="J73" s="5">
        <v>390.60000000000036</v>
      </c>
      <c r="K73" s="5">
        <v>-33.199999999999932</v>
      </c>
      <c r="L73">
        <v>10980.999999999985</v>
      </c>
    </row>
    <row r="74" spans="1:12" x14ac:dyDescent="0.2">
      <c r="A74" s="3">
        <v>45261</v>
      </c>
      <c r="B74" s="5">
        <v>2971.5999999999985</v>
      </c>
      <c r="C74" s="5">
        <v>2673.1000000000022</v>
      </c>
      <c r="D74" s="5">
        <v>260</v>
      </c>
      <c r="E74" s="5">
        <v>681.40000000000055</v>
      </c>
      <c r="F74" s="5">
        <v>426.50000000000023</v>
      </c>
      <c r="G74" s="5">
        <v>4226.5</v>
      </c>
      <c r="H74" s="5">
        <v>538.89999999999964</v>
      </c>
      <c r="I74" s="5">
        <v>2378.5399999999991</v>
      </c>
      <c r="J74" s="5">
        <v>845.19999999999982</v>
      </c>
      <c r="K74" s="5">
        <v>-10.700000000000045</v>
      </c>
      <c r="L74" s="4">
        <v>14991.040000000023</v>
      </c>
    </row>
    <row r="75" spans="1:12" x14ac:dyDescent="0.2">
      <c r="A75" s="7">
        <v>45292</v>
      </c>
      <c r="B75" s="8">
        <v>1870.8000000000002</v>
      </c>
      <c r="C75" s="8">
        <v>1226.0999999999999</v>
      </c>
      <c r="D75" s="8">
        <v>304.7</v>
      </c>
      <c r="E75" s="8">
        <v>301</v>
      </c>
      <c r="F75" s="8">
        <v>69.3</v>
      </c>
      <c r="G75" s="8">
        <v>3732.6</v>
      </c>
      <c r="H75" s="8">
        <v>33.6</v>
      </c>
      <c r="I75" s="8">
        <v>90.6</v>
      </c>
      <c r="J75" s="8">
        <v>53.5</v>
      </c>
      <c r="K75" s="8">
        <v>-11.9</v>
      </c>
      <c r="L75">
        <v>7670.2999999999993</v>
      </c>
    </row>
    <row r="76" spans="1:12" x14ac:dyDescent="0.2">
      <c r="A76" s="3">
        <v>45323</v>
      </c>
      <c r="B76" s="5">
        <v>2223.5</v>
      </c>
      <c r="C76" s="5">
        <v>1885.7000000000003</v>
      </c>
      <c r="D76" s="5">
        <v>387.09999999999997</v>
      </c>
      <c r="E76" s="5">
        <v>606</v>
      </c>
      <c r="F76" s="5">
        <v>148.39999999999998</v>
      </c>
      <c r="G76" s="5">
        <v>3902.7000000000003</v>
      </c>
      <c r="H76" s="5">
        <v>481.20000000000005</v>
      </c>
      <c r="I76" s="5">
        <v>501.5</v>
      </c>
      <c r="J76" s="5">
        <v>164.3</v>
      </c>
      <c r="K76" s="5">
        <v>-18.299999999999997</v>
      </c>
      <c r="L76">
        <v>10282.100000000002</v>
      </c>
    </row>
    <row r="77" spans="1:12" x14ac:dyDescent="0.2">
      <c r="A77" s="3">
        <v>45352</v>
      </c>
      <c r="B77" s="5">
        <v>2313.3000000000002</v>
      </c>
      <c r="C77" s="5">
        <v>1985.1999999999998</v>
      </c>
      <c r="D77" s="5">
        <v>135.10000000000002</v>
      </c>
      <c r="E77" s="5">
        <v>473.90000000000009</v>
      </c>
      <c r="F77" s="5">
        <v>154.90000000000003</v>
      </c>
      <c r="G77" s="5">
        <v>3619.4000000000024</v>
      </c>
      <c r="H77" s="5">
        <v>467.29999999999995</v>
      </c>
      <c r="I77" s="5">
        <v>366.59999999999991</v>
      </c>
      <c r="J77" s="5">
        <v>227.2</v>
      </c>
      <c r="K77" s="5">
        <v>-7.3000000000000007</v>
      </c>
      <c r="L77">
        <v>9735.5999999999949</v>
      </c>
    </row>
    <row r="78" spans="1:12" x14ac:dyDescent="0.2">
      <c r="A78" s="3">
        <v>45383</v>
      </c>
      <c r="B78" s="5">
        <v>2318.7999999999993</v>
      </c>
      <c r="C78" s="5">
        <v>1715.4000000000005</v>
      </c>
      <c r="D78" s="5">
        <v>544.6</v>
      </c>
      <c r="E78" s="5">
        <v>512.29999999999995</v>
      </c>
      <c r="F78" s="5">
        <v>120.5</v>
      </c>
      <c r="G78" s="5">
        <v>4327.8999999999978</v>
      </c>
      <c r="H78" s="5">
        <v>351.99999999999989</v>
      </c>
      <c r="I78" s="5">
        <v>319.20000000000016</v>
      </c>
      <c r="J78" s="5">
        <v>219.60000000000002</v>
      </c>
      <c r="K78" s="5">
        <v>-57.2</v>
      </c>
      <c r="L78">
        <v>10373.099999999995</v>
      </c>
    </row>
    <row r="79" spans="1:12" x14ac:dyDescent="0.2">
      <c r="A79" s="3">
        <v>45413</v>
      </c>
      <c r="B79" s="5">
        <v>2366</v>
      </c>
      <c r="C79" s="5">
        <v>1657.9999999999991</v>
      </c>
      <c r="D79" s="5">
        <v>619.80000000000018</v>
      </c>
      <c r="E79" s="5">
        <v>168.10000000000014</v>
      </c>
      <c r="F79" s="5">
        <v>48</v>
      </c>
      <c r="G79" s="5">
        <v>3537.100000000004</v>
      </c>
      <c r="H79" s="5">
        <v>296.10000000000014</v>
      </c>
      <c r="I79" s="5">
        <v>307.40000000000009</v>
      </c>
      <c r="J79" s="5">
        <v>188.60000000000002</v>
      </c>
      <c r="K79" s="5">
        <v>-9.7999999999999972</v>
      </c>
      <c r="L79">
        <v>9179.3000000000175</v>
      </c>
    </row>
    <row r="80" spans="1:12" x14ac:dyDescent="0.2">
      <c r="A80" s="3">
        <v>45444</v>
      </c>
      <c r="B80" s="5">
        <v>3072.2000000000007</v>
      </c>
      <c r="C80" s="5">
        <v>1603</v>
      </c>
      <c r="D80" s="5">
        <v>206.5</v>
      </c>
      <c r="E80" s="5">
        <v>700.89999999999964</v>
      </c>
      <c r="F80" s="5">
        <v>210.69999999999993</v>
      </c>
      <c r="G80" s="5">
        <v>3525.7999999999956</v>
      </c>
      <c r="H80" s="5">
        <v>397.99999999999977</v>
      </c>
      <c r="I80" s="5">
        <v>518.39999999999964</v>
      </c>
      <c r="J80" s="5">
        <v>250.39999999999986</v>
      </c>
      <c r="K80" s="5">
        <v>-19.400000000000006</v>
      </c>
      <c r="L80">
        <v>10466.499999999978</v>
      </c>
    </row>
    <row r="81" spans="1:12" x14ac:dyDescent="0.2">
      <c r="A81" s="3">
        <v>45474</v>
      </c>
      <c r="B81" s="5">
        <v>2307.6999999999989</v>
      </c>
      <c r="C81" s="5">
        <v>1617.2999999999993</v>
      </c>
      <c r="D81" s="5">
        <v>349.40000000000009</v>
      </c>
      <c r="E81" s="5">
        <v>551.20000000000027</v>
      </c>
      <c r="F81" s="5">
        <v>458.70000000000005</v>
      </c>
      <c r="G81" s="5">
        <v>3547.0999999999985</v>
      </c>
      <c r="H81" s="5">
        <v>411.40000000000009</v>
      </c>
      <c r="I81" s="5">
        <v>903.10000000000036</v>
      </c>
      <c r="J81" s="5">
        <v>264.20000000000027</v>
      </c>
      <c r="K81" s="5">
        <v>-47.400000000000006</v>
      </c>
      <c r="L81">
        <v>10362.700000000019</v>
      </c>
    </row>
    <row r="82" spans="1:12" x14ac:dyDescent="0.2">
      <c r="A82" s="3">
        <v>45505</v>
      </c>
      <c r="B82" s="5">
        <v>1832.9000000000015</v>
      </c>
      <c r="C82" s="5">
        <v>2030.9000000000015</v>
      </c>
      <c r="D82" s="5">
        <v>426.09999999999991</v>
      </c>
      <c r="E82" s="5">
        <v>393.39999999999964</v>
      </c>
      <c r="F82" s="5">
        <v>180.09999999999991</v>
      </c>
      <c r="G82" s="5">
        <v>3772.6000000000022</v>
      </c>
      <c r="H82" s="5">
        <v>194.60000000000036</v>
      </c>
      <c r="I82" s="5">
        <v>694</v>
      </c>
      <c r="J82" s="5">
        <v>166.99999999999977</v>
      </c>
      <c r="K82" s="5">
        <v>-20.800000000000011</v>
      </c>
      <c r="L82">
        <v>9670.7999999999884</v>
      </c>
    </row>
    <row r="83" spans="1:12" x14ac:dyDescent="0.2">
      <c r="A83" s="3">
        <v>45536</v>
      </c>
      <c r="B83" s="5">
        <v>1856.8999999999978</v>
      </c>
      <c r="C83" s="5">
        <v>1769.5</v>
      </c>
      <c r="D83" s="5">
        <v>198.30000000000018</v>
      </c>
      <c r="E83" s="5">
        <v>411.20000000000027</v>
      </c>
      <c r="F83" s="5">
        <v>177.60000000000014</v>
      </c>
      <c r="G83" s="5">
        <v>3556.7000000000007</v>
      </c>
      <c r="H83" s="5">
        <v>222.89999999999964</v>
      </c>
      <c r="I83" s="5">
        <v>571.5</v>
      </c>
      <c r="J83" s="5">
        <v>242.20000000000005</v>
      </c>
      <c r="K83" s="5">
        <v>-20.099999999999994</v>
      </c>
      <c r="L83">
        <v>8986.7000000000116</v>
      </c>
    </row>
    <row r="84" spans="1:12" x14ac:dyDescent="0.2">
      <c r="A84" s="3">
        <v>45566</v>
      </c>
      <c r="B84" s="4">
        <v>2274.2000000000007</v>
      </c>
      <c r="C84" s="4">
        <v>1559.8999999999996</v>
      </c>
      <c r="D84" s="4">
        <v>651.49999999999955</v>
      </c>
      <c r="E84" s="4">
        <v>391.80000000000018</v>
      </c>
      <c r="F84" s="4">
        <v>185.60000000000014</v>
      </c>
      <c r="G84" s="5">
        <v>3691.0000000000073</v>
      </c>
      <c r="H84" s="5">
        <v>523</v>
      </c>
      <c r="I84" s="5">
        <v>839.60000000000036</v>
      </c>
      <c r="J84" s="5">
        <v>261.40000000000009</v>
      </c>
      <c r="K84" s="5">
        <v>-35.699999999999989</v>
      </c>
      <c r="L84">
        <v>10342.300000000003</v>
      </c>
    </row>
    <row r="85" spans="1:12" x14ac:dyDescent="0.2">
      <c r="A85" s="3">
        <v>45597</v>
      </c>
      <c r="B85" s="5">
        <v>2276.1000000000022</v>
      </c>
      <c r="C85" s="5">
        <v>2284.6999999999971</v>
      </c>
      <c r="D85" s="5">
        <v>402.59999999999991</v>
      </c>
      <c r="E85" s="5">
        <v>351.59999999999945</v>
      </c>
      <c r="F85" s="5">
        <v>244</v>
      </c>
      <c r="G85" s="5">
        <v>3590.6999999999898</v>
      </c>
      <c r="H85" s="5">
        <v>465.5</v>
      </c>
      <c r="I85" s="5">
        <v>892.39999999999873</v>
      </c>
      <c r="J85" s="5">
        <v>346.59999999999991</v>
      </c>
      <c r="K85" s="5">
        <v>-19.500000000000028</v>
      </c>
      <c r="L85">
        <v>10834.700000000012</v>
      </c>
    </row>
    <row r="86" spans="1:12" x14ac:dyDescent="0.2">
      <c r="A86" s="3">
        <v>45627</v>
      </c>
      <c r="B86" s="5">
        <v>3011.0999999999985</v>
      </c>
      <c r="C86" s="5">
        <v>2949.6000000000022</v>
      </c>
      <c r="D86" s="5">
        <v>220.90000000000055</v>
      </c>
      <c r="E86" s="5">
        <v>952.70000000000073</v>
      </c>
      <c r="F86" s="5">
        <v>565.09999999999991</v>
      </c>
      <c r="G86" s="5">
        <v>3959.5</v>
      </c>
      <c r="H86" s="5">
        <v>619.79999999999973</v>
      </c>
      <c r="I86" s="5">
        <v>2250</v>
      </c>
      <c r="J86" s="5">
        <v>590.19999999999982</v>
      </c>
      <c r="K86" s="5">
        <v>-60.300000000000011</v>
      </c>
      <c r="L86">
        <v>15058.599999999962</v>
      </c>
    </row>
    <row r="87" spans="1:12" x14ac:dyDescent="0.2">
      <c r="A87" s="51">
        <v>45658</v>
      </c>
      <c r="B87" s="52">
        <v>2497</v>
      </c>
      <c r="C87" s="53">
        <v>1641.1</v>
      </c>
      <c r="D87" s="53">
        <v>289.5</v>
      </c>
      <c r="E87" s="52">
        <v>514</v>
      </c>
      <c r="F87" s="54">
        <v>84.8</v>
      </c>
      <c r="G87" s="53">
        <v>4017.4</v>
      </c>
      <c r="H87" s="53">
        <v>17.399999999999999</v>
      </c>
      <c r="I87" s="53">
        <v>41.3</v>
      </c>
      <c r="J87" s="53">
        <v>46.1</v>
      </c>
      <c r="K87" s="53">
        <v>-19.7</v>
      </c>
      <c r="L87" s="55">
        <v>9128.9</v>
      </c>
    </row>
    <row r="88" spans="1:12" x14ac:dyDescent="0.2">
      <c r="A88" s="3">
        <v>45689</v>
      </c>
      <c r="B88" s="5">
        <v>2448.5</v>
      </c>
      <c r="C88" s="2">
        <v>1843.6</v>
      </c>
      <c r="D88" s="2">
        <v>291.60000000000002</v>
      </c>
      <c r="E88" s="2">
        <v>473.1</v>
      </c>
      <c r="F88" s="5">
        <v>192.5</v>
      </c>
      <c r="G88" s="2">
        <v>4301.2</v>
      </c>
      <c r="H88" s="2">
        <v>572.9</v>
      </c>
      <c r="I88" s="2">
        <v>193.8</v>
      </c>
      <c r="J88" s="2">
        <v>191.7</v>
      </c>
      <c r="K88" s="2">
        <v>-34.299999999999997</v>
      </c>
      <c r="L88">
        <v>10474.6</v>
      </c>
    </row>
    <row r="89" spans="1:12" x14ac:dyDescent="0.2">
      <c r="A89" s="3">
        <v>45717</v>
      </c>
      <c r="B89" s="5">
        <v>2545</v>
      </c>
      <c r="C89" s="5">
        <v>2154.9999999999995</v>
      </c>
      <c r="D89" s="2">
        <v>252.69999999999993</v>
      </c>
      <c r="E89" s="2">
        <v>455.10000000000014</v>
      </c>
      <c r="F89" s="5">
        <v>421.90000000000003</v>
      </c>
      <c r="G89" s="2">
        <v>4453.1000000000004</v>
      </c>
      <c r="H89" s="2">
        <v>414</v>
      </c>
      <c r="I89" s="2">
        <v>316.60000000000002</v>
      </c>
      <c r="J89" s="2">
        <v>218.89999999999998</v>
      </c>
      <c r="K89" s="2">
        <v>-20.400000000000006</v>
      </c>
      <c r="L89">
        <v>11211.900000000001</v>
      </c>
    </row>
    <row r="90" spans="1:12" x14ac:dyDescent="0.2">
      <c r="A90" s="3">
        <v>45748</v>
      </c>
      <c r="B90" s="5">
        <v>2655.7000000000007</v>
      </c>
      <c r="C90" s="5">
        <v>1739.0000000000009</v>
      </c>
      <c r="D90" s="5">
        <v>519.70000000000005</v>
      </c>
      <c r="E90" s="5">
        <v>372.29999999999995</v>
      </c>
      <c r="F90" s="5">
        <v>363.20000000000005</v>
      </c>
      <c r="G90" s="5">
        <v>4701.2999999999956</v>
      </c>
      <c r="H90" s="5">
        <v>374.90000000000009</v>
      </c>
      <c r="I90" s="5">
        <v>440.39999999999986</v>
      </c>
      <c r="J90" s="5">
        <v>220.09999999999997</v>
      </c>
      <c r="K90" s="5">
        <v>-50.299999999999983</v>
      </c>
      <c r="L90">
        <v>11336.299999999992</v>
      </c>
    </row>
    <row r="91" spans="1:12" x14ac:dyDescent="0.2">
      <c r="A91" s="3">
        <v>45778</v>
      </c>
      <c r="B91" s="5">
        <v>2506.1999999999989</v>
      </c>
      <c r="C91" s="5">
        <v>2177.7999999999993</v>
      </c>
      <c r="D91" s="5">
        <v>435.10000000000014</v>
      </c>
      <c r="E91" s="5">
        <v>1096.5</v>
      </c>
      <c r="F91" s="5">
        <v>375.99999999999977</v>
      </c>
      <c r="G91" s="5">
        <v>4478.4000000000051</v>
      </c>
      <c r="H91" s="5">
        <v>410.5</v>
      </c>
      <c r="I91" s="5">
        <v>451</v>
      </c>
      <c r="J91" s="5">
        <v>259.90000000000009</v>
      </c>
      <c r="K91" s="5">
        <v>-45.5</v>
      </c>
      <c r="L91">
        <v>12145.900000000009</v>
      </c>
    </row>
    <row r="92" spans="1:12" x14ac:dyDescent="0.2">
      <c r="A92" s="3">
        <v>45809</v>
      </c>
      <c r="B92" s="5">
        <v>3507</v>
      </c>
      <c r="C92" s="2">
        <v>1946.2</v>
      </c>
      <c r="D92" s="2">
        <v>263.2</v>
      </c>
      <c r="E92" s="5">
        <v>376.8</v>
      </c>
      <c r="F92" s="6">
        <v>400.1</v>
      </c>
      <c r="G92" s="2">
        <v>4135.3999999999996</v>
      </c>
      <c r="H92" s="2">
        <v>479.9</v>
      </c>
      <c r="I92" s="2">
        <v>656.4</v>
      </c>
      <c r="J92" s="2">
        <v>256.2</v>
      </c>
      <c r="K92" s="2">
        <v>-26.4</v>
      </c>
      <c r="L92">
        <v>11994.8</v>
      </c>
    </row>
    <row r="93" spans="1:12" x14ac:dyDescent="0.2">
      <c r="A93" s="3">
        <v>45839</v>
      </c>
      <c r="B93" s="5">
        <v>2533.1000000000004</v>
      </c>
      <c r="C93" s="2">
        <v>1655.2999999999993</v>
      </c>
      <c r="D93" s="2">
        <v>346.19999999999982</v>
      </c>
      <c r="E93" s="2">
        <v>310.39999999999964</v>
      </c>
      <c r="F93" s="5">
        <v>503</v>
      </c>
      <c r="G93" s="2">
        <v>4132.3999999999978</v>
      </c>
      <c r="H93" s="2">
        <v>363.20000000000027</v>
      </c>
      <c r="I93" s="2">
        <v>636</v>
      </c>
      <c r="J93" s="2">
        <v>187.90000000000009</v>
      </c>
      <c r="K93" s="2">
        <v>-41.300000000000011</v>
      </c>
      <c r="L93">
        <v>10626.199999999999</v>
      </c>
    </row>
    <row r="94" spans="1:12" x14ac:dyDescent="0.2">
      <c r="A94" s="3">
        <v>45870</v>
      </c>
      <c r="B94" s="5">
        <v>1969.6999999999971</v>
      </c>
      <c r="C94" s="5">
        <v>2358</v>
      </c>
      <c r="D94" s="2">
        <v>345.40000000000055</v>
      </c>
      <c r="E94" s="2">
        <v>244.90000000000009</v>
      </c>
      <c r="F94" s="5">
        <v>626</v>
      </c>
      <c r="G94" s="2">
        <v>4115.9999999999964</v>
      </c>
      <c r="H94" s="2">
        <v>206.59999999999945</v>
      </c>
      <c r="I94" s="2">
        <v>780.69999999999982</v>
      </c>
      <c r="J94" s="2">
        <v>177.59999999999991</v>
      </c>
      <c r="K94" s="2">
        <v>-61.599999999999994</v>
      </c>
      <c r="L94">
        <v>10763.299999999996</v>
      </c>
    </row>
    <row r="95" spans="1:12" x14ac:dyDescent="0.2">
      <c r="A95" s="3">
        <v>45901</v>
      </c>
      <c r="B95" s="5">
        <v>2085.7000000000044</v>
      </c>
      <c r="C95" s="5">
        <v>1887.0999999999985</v>
      </c>
      <c r="D95" s="5">
        <v>254.39999999999964</v>
      </c>
      <c r="E95" s="5">
        <v>293.70000000000027</v>
      </c>
      <c r="F95" s="5">
        <v>359.69999999999982</v>
      </c>
      <c r="G95" s="5">
        <v>4352.8000000000029</v>
      </c>
      <c r="H95" s="5">
        <v>377.20000000000027</v>
      </c>
      <c r="I95" s="5">
        <v>879.30000000000018</v>
      </c>
      <c r="J95" s="5">
        <v>272.49999999999977</v>
      </c>
      <c r="K95" s="5">
        <v>-42.300000000000011</v>
      </c>
      <c r="L95">
        <v>10720.100000000006</v>
      </c>
    </row>
    <row r="96" spans="1:12" x14ac:dyDescent="0.2">
      <c r="A96" s="3">
        <v>45931</v>
      </c>
      <c r="B96" s="5">
        <v>2511.8999999999978</v>
      </c>
      <c r="C96" s="2">
        <v>1806.4000000000015</v>
      </c>
      <c r="D96" s="2">
        <v>620.90000000000009</v>
      </c>
      <c r="E96" s="5">
        <v>271.59999999999945</v>
      </c>
      <c r="F96" s="6">
        <v>592.80000000000018</v>
      </c>
      <c r="G96" s="2">
        <v>4211.5000000000073</v>
      </c>
      <c r="H96" s="2">
        <v>358.49999999999955</v>
      </c>
      <c r="I96" s="2">
        <v>1097.5</v>
      </c>
      <c r="J96" s="2">
        <v>331.80000000000041</v>
      </c>
      <c r="K96" s="2">
        <v>-17.799999999999955</v>
      </c>
      <c r="L96">
        <v>11785.100000000008</v>
      </c>
    </row>
    <row r="97" spans="1:12" x14ac:dyDescent="0.2">
      <c r="A97" s="3">
        <v>45962</v>
      </c>
      <c r="B97" s="5">
        <v>2468.2999999999993</v>
      </c>
      <c r="C97" s="2">
        <v>2530.5</v>
      </c>
      <c r="D97" s="2">
        <v>495.29999999999973</v>
      </c>
      <c r="E97" s="2">
        <v>206.80000000000018</v>
      </c>
      <c r="F97" s="5">
        <v>607.69999999999982</v>
      </c>
      <c r="G97" s="2">
        <v>3945</v>
      </c>
      <c r="H97" s="2">
        <v>337.90000000000055</v>
      </c>
      <c r="I97" s="2">
        <v>959.10000000000036</v>
      </c>
      <c r="J97" s="2">
        <v>356.59999999999945</v>
      </c>
      <c r="K97" s="2">
        <v>-25.199999999999989</v>
      </c>
      <c r="L97">
        <v>11882</v>
      </c>
    </row>
    <row r="98" spans="1:12" x14ac:dyDescent="0.2">
      <c r="A98" s="38">
        <v>45992</v>
      </c>
      <c r="B98" s="5">
        <v>3644.4</v>
      </c>
      <c r="C98" s="40">
        <v>3147.5</v>
      </c>
      <c r="D98" s="40">
        <v>291</v>
      </c>
      <c r="E98" s="40">
        <v>423</v>
      </c>
      <c r="F98" s="43">
        <v>1320.8</v>
      </c>
      <c r="G98" s="40">
        <v>4704.8</v>
      </c>
      <c r="H98" s="40">
        <v>579.29999999999995</v>
      </c>
      <c r="I98" s="40">
        <v>3054.7</v>
      </c>
      <c r="J98" s="40">
        <v>687.2</v>
      </c>
      <c r="K98" s="40">
        <v>-65.400000000000006</v>
      </c>
      <c r="L98" s="36">
        <f>SUM([1]!Table3[[#This Row],[Cheltuieli de personal]:[Alte active nefinanciare]])</f>
        <v>17787.3</v>
      </c>
    </row>
    <row r="99" spans="1:12" x14ac:dyDescent="0.2">
      <c r="A99" s="39">
        <v>46023</v>
      </c>
      <c r="B99" s="5">
        <v>2497.1999999999998</v>
      </c>
      <c r="C99" s="41">
        <v>1902.7</v>
      </c>
      <c r="D99" s="41">
        <v>288</v>
      </c>
      <c r="E99" s="41">
        <v>749.7</v>
      </c>
      <c r="F99" s="44">
        <v>86.9</v>
      </c>
      <c r="G99" s="41">
        <v>4399.8</v>
      </c>
      <c r="H99" s="41">
        <v>176.4</v>
      </c>
      <c r="I99" s="41">
        <v>84.5</v>
      </c>
      <c r="J99" s="41">
        <v>59.7</v>
      </c>
      <c r="K99" s="41">
        <v>-68.099999999999994</v>
      </c>
      <c r="L99" s="37">
        <v>10176.799999999999</v>
      </c>
    </row>
    <row r="100" spans="1:12" x14ac:dyDescent="0.2">
      <c r="A100" s="38">
        <v>46054</v>
      </c>
      <c r="B100" s="5">
        <v>2571.5999999999995</v>
      </c>
      <c r="C100" s="42">
        <v>2092.1000000000004</v>
      </c>
      <c r="D100" s="42">
        <v>388.19999999999993</v>
      </c>
      <c r="E100" s="42">
        <v>293.10000000000002</v>
      </c>
      <c r="F100" s="45">
        <v>219.6</v>
      </c>
      <c r="G100" s="42">
        <v>4463.8</v>
      </c>
      <c r="H100" s="42">
        <v>577.5</v>
      </c>
      <c r="I100" s="42">
        <v>297.5</v>
      </c>
      <c r="J100" s="42">
        <v>189.7</v>
      </c>
      <c r="K100" s="42">
        <v>-13.499999999999986</v>
      </c>
      <c r="L100" s="36">
        <v>11079.6</v>
      </c>
    </row>
    <row r="101" spans="1:12" x14ac:dyDescent="0.2">
      <c r="A101" s="38">
        <v>46082</v>
      </c>
      <c r="B101" s="5">
        <v>2665.6000000000004</v>
      </c>
      <c r="C101" s="40">
        <v>2291.9999999999991</v>
      </c>
      <c r="D101" s="40">
        <v>422.50000000000011</v>
      </c>
      <c r="E101" s="42">
        <v>409.10000000000014</v>
      </c>
      <c r="F101" s="45">
        <v>605.40000000000009</v>
      </c>
      <c r="G101" s="42">
        <v>4580.1000000000004</v>
      </c>
      <c r="H101" s="42">
        <v>470.50000000000011</v>
      </c>
      <c r="I101" s="40">
        <v>451.5</v>
      </c>
      <c r="J101" s="46">
        <v>252.20000000000002</v>
      </c>
      <c r="K101" s="40">
        <v>-28.5</v>
      </c>
      <c r="L101" s="36">
        <v>12120.399999999994</v>
      </c>
    </row>
  </sheetData>
  <mergeCells count="2">
    <mergeCell ref="B1:H1"/>
    <mergeCell ref="I1:K1"/>
  </mergeCells>
  <pageMargins left="0.7" right="0.7" top="0.75" bottom="0.75" header="0.3" footer="0.3"/>
  <pageSetup paperSize="9" orientation="portrait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7F21-77ED-4F3B-AFC9-34ABE2118DD9}">
  <dimension ref="A1:F9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4" sqref="B14"/>
    </sheetView>
  </sheetViews>
  <sheetFormatPr baseColWidth="10" defaultColWidth="9.1640625" defaultRowHeight="14" x14ac:dyDescent="0.15"/>
  <cols>
    <col min="1" max="1" width="15" style="27" customWidth="1"/>
    <col min="2" max="2" width="10.5" style="27" customWidth="1"/>
    <col min="3" max="3" width="11.6640625" style="27" customWidth="1"/>
    <col min="4" max="4" width="13.5" style="27" customWidth="1"/>
    <col min="5" max="5" width="9.1640625" style="27"/>
    <col min="6" max="6" width="13.5" style="27" customWidth="1"/>
    <col min="7" max="16384" width="9.1640625" style="27"/>
  </cols>
  <sheetData>
    <row r="1" spans="1:6" ht="34" x14ac:dyDescent="0.15">
      <c r="A1" s="25" t="s">
        <v>0</v>
      </c>
      <c r="B1" s="26" t="s">
        <v>36</v>
      </c>
      <c r="C1" s="26" t="s">
        <v>37</v>
      </c>
      <c r="D1" s="26" t="s">
        <v>38</v>
      </c>
      <c r="E1" s="26" t="s">
        <v>39</v>
      </c>
      <c r="F1" s="26" t="s">
        <v>40</v>
      </c>
    </row>
    <row r="2" spans="1:6" x14ac:dyDescent="0.15">
      <c r="A2" s="28">
        <v>43101</v>
      </c>
      <c r="B2" s="23">
        <v>22621.15</v>
      </c>
      <c r="C2" s="23">
        <v>29157.859280856766</v>
      </c>
      <c r="D2" s="33">
        <v>1744.08929728</v>
      </c>
      <c r="E2" s="30">
        <v>16.7181</v>
      </c>
      <c r="F2" s="33"/>
    </row>
    <row r="3" spans="1:6" x14ac:dyDescent="0.15">
      <c r="A3" s="28">
        <v>43132</v>
      </c>
      <c r="B3" s="22">
        <v>22743.632770759999</v>
      </c>
      <c r="C3" s="22">
        <v>28555.611615961479</v>
      </c>
      <c r="D3" s="33">
        <v>1710.53142542</v>
      </c>
      <c r="E3" s="31">
        <v>16.693999999999999</v>
      </c>
      <c r="F3" s="33"/>
    </row>
    <row r="4" spans="1:6" x14ac:dyDescent="0.15">
      <c r="A4" s="28">
        <v>43160</v>
      </c>
      <c r="B4" s="22">
        <v>22826.90699996</v>
      </c>
      <c r="C4" s="22">
        <v>28123.849073070276</v>
      </c>
      <c r="D4" s="33">
        <v>1707.77740438</v>
      </c>
      <c r="E4" s="31">
        <v>16.4681</v>
      </c>
      <c r="F4" s="33"/>
    </row>
    <row r="5" spans="1:6" x14ac:dyDescent="0.15">
      <c r="A5" s="28">
        <v>43191</v>
      </c>
      <c r="B5" s="22">
        <v>22872.6</v>
      </c>
      <c r="C5" s="22">
        <v>27974.515820674496</v>
      </c>
      <c r="D5" s="33">
        <v>1692.6963695300001</v>
      </c>
      <c r="E5" s="31">
        <v>16.526599999999998</v>
      </c>
      <c r="F5" s="33"/>
    </row>
    <row r="6" spans="1:6" x14ac:dyDescent="0.15">
      <c r="A6" s="28">
        <v>43221</v>
      </c>
      <c r="B6" s="22">
        <v>22788.52</v>
      </c>
      <c r="C6" s="22">
        <v>28047.191644831866</v>
      </c>
      <c r="D6" s="33">
        <v>1654.33068957</v>
      </c>
      <c r="E6" s="31">
        <v>16.953800000000001</v>
      </c>
      <c r="F6" s="33"/>
    </row>
    <row r="7" spans="1:6" x14ac:dyDescent="0.15">
      <c r="A7" s="28">
        <v>43252</v>
      </c>
      <c r="B7" s="22">
        <v>22798.32</v>
      </c>
      <c r="C7" s="22">
        <v>28128.719375381686</v>
      </c>
      <c r="D7" s="33">
        <v>1670.0539912950001</v>
      </c>
      <c r="E7" s="31">
        <v>16.843</v>
      </c>
      <c r="F7" s="33"/>
    </row>
    <row r="8" spans="1:6" x14ac:dyDescent="0.15">
      <c r="A8" s="28">
        <v>43282</v>
      </c>
      <c r="B8" s="22">
        <v>22902.200987159998</v>
      </c>
      <c r="C8" s="22">
        <v>28413.930335999998</v>
      </c>
      <c r="D8" s="33">
        <v>1713.83</v>
      </c>
      <c r="E8" s="31">
        <v>16.5792</v>
      </c>
      <c r="F8" s="33"/>
    </row>
    <row r="9" spans="1:6" x14ac:dyDescent="0.15">
      <c r="A9" s="28">
        <v>43313</v>
      </c>
      <c r="B9" s="22">
        <v>23087.16</v>
      </c>
      <c r="C9" s="22">
        <v>28048.758837873756</v>
      </c>
      <c r="D9" s="33">
        <v>1678.571316278</v>
      </c>
      <c r="E9" s="31">
        <v>16.709900000000001</v>
      </c>
      <c r="F9" s="33"/>
    </row>
    <row r="10" spans="1:6" x14ac:dyDescent="0.15">
      <c r="A10" s="28">
        <v>43344</v>
      </c>
      <c r="B10" s="22">
        <v>23146.529858239999</v>
      </c>
      <c r="C10" s="22">
        <v>28415.333243249625</v>
      </c>
      <c r="D10" s="33">
        <v>1684.999925476</v>
      </c>
      <c r="E10" s="31">
        <v>16.863700000000001</v>
      </c>
      <c r="F10" s="33"/>
    </row>
    <row r="11" spans="1:6" x14ac:dyDescent="0.15">
      <c r="A11" s="28">
        <v>43374</v>
      </c>
      <c r="B11" s="22">
        <v>22992.336903880001</v>
      </c>
      <c r="C11" s="22">
        <v>28323.697985938481</v>
      </c>
      <c r="D11" s="33">
        <v>1653.2048834350001</v>
      </c>
      <c r="E11" s="31">
        <v>17.1326</v>
      </c>
      <c r="F11" s="33"/>
    </row>
    <row r="12" spans="1:6" x14ac:dyDescent="0.15">
      <c r="A12" s="28">
        <v>43405</v>
      </c>
      <c r="B12" s="22">
        <v>22772.84</v>
      </c>
      <c r="C12" s="22">
        <v>28863.005615999999</v>
      </c>
      <c r="D12" s="33">
        <v>1674.81</v>
      </c>
      <c r="E12" s="31">
        <v>17.233599999999999</v>
      </c>
      <c r="F12" s="33"/>
    </row>
    <row r="13" spans="1:6" x14ac:dyDescent="0.15">
      <c r="A13" s="28">
        <v>43435</v>
      </c>
      <c r="B13" s="24">
        <v>23058.57</v>
      </c>
      <c r="C13" s="24">
        <v>28954.020300000004</v>
      </c>
      <c r="D13" s="33">
        <v>1689</v>
      </c>
      <c r="E13" s="32">
        <v>17.142700000000001</v>
      </c>
      <c r="F13" s="33">
        <v>189062.62800000003</v>
      </c>
    </row>
    <row r="14" spans="1:6" x14ac:dyDescent="0.15">
      <c r="A14" s="28">
        <v>43466</v>
      </c>
      <c r="B14" s="23">
        <v>23203.080916750001</v>
      </c>
      <c r="C14" s="23">
        <v>29024.380564128733</v>
      </c>
      <c r="D14" s="33">
        <v>1697.34212271</v>
      </c>
      <c r="E14" s="30">
        <v>17.099900000000002</v>
      </c>
      <c r="F14" s="33"/>
    </row>
    <row r="15" spans="1:6" x14ac:dyDescent="0.15">
      <c r="A15" s="28">
        <v>43497</v>
      </c>
      <c r="B15" s="22">
        <v>23421.279999999999</v>
      </c>
      <c r="C15" s="22">
        <v>28598.381090618703</v>
      </c>
      <c r="D15" s="33">
        <v>1666.931744643</v>
      </c>
      <c r="E15" s="31">
        <v>17.156300000000002</v>
      </c>
      <c r="F15" s="33"/>
    </row>
    <row r="16" spans="1:6" x14ac:dyDescent="0.15">
      <c r="A16" s="28">
        <v>43525</v>
      </c>
      <c r="B16" s="22">
        <v>23457.708487240001</v>
      </c>
      <c r="C16" s="22">
        <v>28390.919403627395</v>
      </c>
      <c r="D16" s="33">
        <v>1640.1076464800001</v>
      </c>
      <c r="E16" s="31">
        <v>17.310400000000001</v>
      </c>
      <c r="F16" s="33"/>
    </row>
    <row r="17" spans="1:6" x14ac:dyDescent="0.15">
      <c r="A17" s="28">
        <v>43556</v>
      </c>
      <c r="B17" s="22">
        <v>23305.690210469998</v>
      </c>
      <c r="C17" s="22">
        <v>30010.949539558318</v>
      </c>
      <c r="D17" s="33">
        <v>1677.3577582779999</v>
      </c>
      <c r="E17" s="31">
        <v>17.8918</v>
      </c>
      <c r="F17" s="33"/>
    </row>
    <row r="18" spans="1:6" x14ac:dyDescent="0.15">
      <c r="A18" s="28">
        <v>43586</v>
      </c>
      <c r="B18" s="22">
        <v>23387.52</v>
      </c>
      <c r="C18" s="22">
        <v>30572.302739999999</v>
      </c>
      <c r="D18" s="33">
        <v>1681.09</v>
      </c>
      <c r="E18" s="31">
        <v>18.186</v>
      </c>
      <c r="F18" s="33"/>
    </row>
    <row r="19" spans="1:6" x14ac:dyDescent="0.15">
      <c r="A19" s="28">
        <v>43617</v>
      </c>
      <c r="B19" s="22">
        <v>23430.06766457</v>
      </c>
      <c r="C19" s="22">
        <v>30950.811996</v>
      </c>
      <c r="D19" s="33">
        <v>1705.73</v>
      </c>
      <c r="E19" s="31">
        <v>18.145199999999999</v>
      </c>
      <c r="F19" s="33"/>
    </row>
    <row r="20" spans="1:6" x14ac:dyDescent="0.15">
      <c r="A20" s="28">
        <v>43647</v>
      </c>
      <c r="B20" s="22">
        <v>23243.517859619998</v>
      </c>
      <c r="C20" s="22">
        <v>29870.512989773328</v>
      </c>
      <c r="D20" s="33">
        <v>1684.117192121</v>
      </c>
      <c r="E20" s="31">
        <v>17.736599999999999</v>
      </c>
      <c r="F20" s="33"/>
    </row>
    <row r="21" spans="1:6" x14ac:dyDescent="0.15">
      <c r="A21" s="28">
        <v>43678</v>
      </c>
      <c r="B21" s="22">
        <v>23105.876784029999</v>
      </c>
      <c r="C21" s="22">
        <v>29320.122573580571</v>
      </c>
      <c r="D21" s="33">
        <v>1644.223515527</v>
      </c>
      <c r="E21" s="31">
        <v>17.8322</v>
      </c>
      <c r="F21" s="33"/>
    </row>
    <row r="22" spans="1:6" x14ac:dyDescent="0.15">
      <c r="A22" s="28">
        <v>43709</v>
      </c>
      <c r="B22" s="22">
        <v>23081.774000000001</v>
      </c>
      <c r="C22" s="22">
        <v>29287.832859000002</v>
      </c>
      <c r="D22" s="33">
        <v>1651.5540000000001</v>
      </c>
      <c r="E22" s="31">
        <v>17.733499999999999</v>
      </c>
      <c r="F22" s="33"/>
    </row>
    <row r="23" spans="1:6" x14ac:dyDescent="0.15">
      <c r="A23" s="28">
        <v>43739</v>
      </c>
      <c r="B23" s="22">
        <v>22935.83</v>
      </c>
      <c r="C23" s="22">
        <v>29625.341130000004</v>
      </c>
      <c r="D23" s="33">
        <v>1689.7</v>
      </c>
      <c r="E23" s="31">
        <v>17.532900000000001</v>
      </c>
      <c r="F23" s="33"/>
    </row>
    <row r="24" spans="1:6" x14ac:dyDescent="0.15">
      <c r="A24" s="28">
        <v>43770</v>
      </c>
      <c r="B24" s="22">
        <v>23091.441999999999</v>
      </c>
      <c r="C24" s="22">
        <v>29305.666539577967</v>
      </c>
      <c r="D24" s="33">
        <v>1679.9276876270001</v>
      </c>
      <c r="E24" s="31">
        <v>17.444600000000001</v>
      </c>
      <c r="F24" s="33"/>
    </row>
    <row r="25" spans="1:6" x14ac:dyDescent="0.15">
      <c r="A25" s="28">
        <v>43800</v>
      </c>
      <c r="B25" s="24">
        <v>23168.216431109999</v>
      </c>
      <c r="C25" s="24">
        <v>29322.385347557745</v>
      </c>
      <c r="D25" s="33">
        <v>1703.8685680159999</v>
      </c>
      <c r="E25" s="32">
        <v>17.209299999999999</v>
      </c>
      <c r="F25" s="33">
        <v>206256.239</v>
      </c>
    </row>
    <row r="26" spans="1:6" x14ac:dyDescent="0.15">
      <c r="A26" s="28">
        <v>43831</v>
      </c>
      <c r="B26" s="23">
        <v>23396.655969269999</v>
      </c>
      <c r="C26" s="23">
        <v>29326.120517067415</v>
      </c>
      <c r="D26" s="33">
        <v>1704.0856116790001</v>
      </c>
      <c r="E26" s="30">
        <v>17.209299999999999</v>
      </c>
      <c r="F26" s="33"/>
    </row>
    <row r="27" spans="1:6" x14ac:dyDescent="0.15">
      <c r="A27" s="28">
        <v>43862</v>
      </c>
      <c r="B27" s="22">
        <v>23764.79</v>
      </c>
      <c r="C27" s="22">
        <v>29335.032748869395</v>
      </c>
      <c r="D27" s="33">
        <v>1650.715642187</v>
      </c>
      <c r="E27" s="31">
        <v>17.771100000000001</v>
      </c>
      <c r="F27" s="33"/>
    </row>
    <row r="28" spans="1:6" x14ac:dyDescent="0.15">
      <c r="A28" s="28">
        <v>43891</v>
      </c>
      <c r="B28" s="22">
        <v>23855.309474920003</v>
      </c>
      <c r="C28" s="22">
        <v>30269.757752537913</v>
      </c>
      <c r="D28" s="33">
        <v>1665.8370115150001</v>
      </c>
      <c r="E28" s="31">
        <v>18.1709</v>
      </c>
      <c r="F28" s="33"/>
    </row>
    <row r="29" spans="1:6" x14ac:dyDescent="0.15">
      <c r="A29" s="28">
        <v>43922</v>
      </c>
      <c r="B29" s="22">
        <v>24503.671999999999</v>
      </c>
      <c r="C29" s="22">
        <v>33844.83166525104</v>
      </c>
      <c r="D29" s="33">
        <v>1891.0262641500001</v>
      </c>
      <c r="E29" s="31">
        <v>17.897600000000001</v>
      </c>
      <c r="F29" s="33"/>
    </row>
    <row r="30" spans="1:6" x14ac:dyDescent="0.15">
      <c r="A30" s="28">
        <v>43952</v>
      </c>
      <c r="B30" s="22">
        <v>25839.221000000001</v>
      </c>
      <c r="C30" s="22">
        <v>33547.593168600004</v>
      </c>
      <c r="D30" s="33">
        <v>1903.1179999999999</v>
      </c>
      <c r="E30" s="31">
        <v>17.627700000000001</v>
      </c>
      <c r="F30" s="33"/>
    </row>
    <row r="31" spans="1:6" x14ac:dyDescent="0.15">
      <c r="A31" s="28">
        <v>43983</v>
      </c>
      <c r="B31" s="22">
        <v>26565.73</v>
      </c>
      <c r="C31" s="22">
        <v>33429.606516799999</v>
      </c>
      <c r="D31" s="33">
        <v>1940.4680000000001</v>
      </c>
      <c r="E31" s="31">
        <v>17.227599999999999</v>
      </c>
      <c r="F31" s="33"/>
    </row>
    <row r="32" spans="1:6" x14ac:dyDescent="0.15">
      <c r="A32" s="28">
        <v>44013</v>
      </c>
      <c r="B32" s="22">
        <v>27003.612000000001</v>
      </c>
      <c r="C32" s="22">
        <v>33827.074384899999</v>
      </c>
      <c r="D32" s="33">
        <v>2018.069</v>
      </c>
      <c r="E32" s="31">
        <v>16.7621</v>
      </c>
      <c r="F32" s="33"/>
    </row>
    <row r="33" spans="1:6" x14ac:dyDescent="0.15">
      <c r="A33" s="28">
        <v>44044</v>
      </c>
      <c r="B33" s="22">
        <v>27615.344000000001</v>
      </c>
      <c r="C33" s="22">
        <v>33560.606545299997</v>
      </c>
      <c r="D33" s="33">
        <v>2019.011</v>
      </c>
      <c r="E33" s="31">
        <v>16.622299999999999</v>
      </c>
      <c r="F33" s="33"/>
    </row>
    <row r="34" spans="1:6" x14ac:dyDescent="0.15">
      <c r="A34" s="28">
        <v>44075</v>
      </c>
      <c r="B34" s="22">
        <v>28161.432000000001</v>
      </c>
      <c r="C34" s="22">
        <v>34072.543708500001</v>
      </c>
      <c r="D34" s="33">
        <v>2009.4090000000001</v>
      </c>
      <c r="E34" s="31">
        <v>16.956499999999998</v>
      </c>
      <c r="F34" s="33"/>
    </row>
    <row r="35" spans="1:6" x14ac:dyDescent="0.15">
      <c r="A35" s="28">
        <v>44105</v>
      </c>
      <c r="B35" s="22">
        <v>28577.050999999999</v>
      </c>
      <c r="C35" s="22">
        <v>34731.129959900005</v>
      </c>
      <c r="D35" s="33">
        <v>2038.4870000000001</v>
      </c>
      <c r="E35" s="31">
        <v>17.037700000000001</v>
      </c>
      <c r="F35" s="33"/>
    </row>
    <row r="36" spans="1:6" x14ac:dyDescent="0.15">
      <c r="A36" s="28">
        <v>44136</v>
      </c>
      <c r="B36" s="22">
        <v>29068.100999999999</v>
      </c>
      <c r="C36" s="22">
        <v>36893.357945099997</v>
      </c>
      <c r="D36" s="33">
        <v>2140.1970000000001</v>
      </c>
      <c r="E36" s="31">
        <v>17.238299999999999</v>
      </c>
      <c r="F36" s="33"/>
    </row>
    <row r="37" spans="1:6" x14ac:dyDescent="0.15">
      <c r="A37" s="28">
        <v>44166</v>
      </c>
      <c r="B37" s="24">
        <v>29235.620999999999</v>
      </c>
      <c r="C37" s="24">
        <v>38585.114302800001</v>
      </c>
      <c r="D37" s="33">
        <v>2241.4180000000001</v>
      </c>
      <c r="E37" s="32">
        <v>17.214600000000001</v>
      </c>
      <c r="F37" s="33">
        <v>199733.68399999998</v>
      </c>
    </row>
    <row r="38" spans="1:6" x14ac:dyDescent="0.15">
      <c r="A38" s="28">
        <v>44197</v>
      </c>
      <c r="B38" s="23">
        <v>29743.435000000001</v>
      </c>
      <c r="C38" s="23">
        <v>38583.784575999998</v>
      </c>
      <c r="D38" s="33">
        <v>2231.36</v>
      </c>
      <c r="E38" s="30">
        <v>17.291599999999999</v>
      </c>
      <c r="F38" s="33"/>
    </row>
    <row r="39" spans="1:6" x14ac:dyDescent="0.15">
      <c r="A39" s="28">
        <v>44228</v>
      </c>
      <c r="B39" s="22">
        <v>30722.1</v>
      </c>
      <c r="C39" s="22">
        <v>39072.890102399993</v>
      </c>
      <c r="D39" s="33">
        <v>2238.5439999999999</v>
      </c>
      <c r="E39" s="31">
        <v>17.454599999999999</v>
      </c>
      <c r="F39" s="33"/>
    </row>
    <row r="40" spans="1:6" x14ac:dyDescent="0.15">
      <c r="A40" s="28">
        <v>44256</v>
      </c>
      <c r="B40" s="22">
        <v>31509.899000000001</v>
      </c>
      <c r="C40" s="22">
        <v>39415.372939799992</v>
      </c>
      <c r="D40" s="33">
        <v>2188.7579999999998</v>
      </c>
      <c r="E40" s="31">
        <v>18.008099999999999</v>
      </c>
      <c r="F40" s="33"/>
    </row>
    <row r="41" spans="1:6" x14ac:dyDescent="0.15">
      <c r="A41" s="28">
        <v>44287</v>
      </c>
      <c r="B41" s="22">
        <v>31893.173999999999</v>
      </c>
      <c r="C41" s="22">
        <v>40540.508072800003</v>
      </c>
      <c r="D41" s="33">
        <v>2277.6590000000001</v>
      </c>
      <c r="E41" s="31">
        <v>17.799199999999999</v>
      </c>
      <c r="F41" s="33"/>
    </row>
    <row r="42" spans="1:6" x14ac:dyDescent="0.15">
      <c r="A42" s="28">
        <v>44317</v>
      </c>
      <c r="B42" s="22">
        <v>33704.366999999998</v>
      </c>
      <c r="C42" s="22">
        <v>40457.77274</v>
      </c>
      <c r="D42" s="33">
        <v>2296.91</v>
      </c>
      <c r="E42" s="31">
        <v>17.614000000000001</v>
      </c>
      <c r="F42" s="33"/>
    </row>
    <row r="43" spans="1:6" x14ac:dyDescent="0.15">
      <c r="A43" s="28">
        <v>44348</v>
      </c>
      <c r="B43" s="22">
        <v>34312.737000000001</v>
      </c>
      <c r="C43" s="22">
        <v>41265.276819999999</v>
      </c>
      <c r="D43" s="33">
        <v>2295.64</v>
      </c>
      <c r="E43" s="31">
        <v>17.9755</v>
      </c>
      <c r="F43" s="33"/>
    </row>
    <row r="44" spans="1:6" x14ac:dyDescent="0.15">
      <c r="A44" s="28">
        <v>44378</v>
      </c>
      <c r="B44" s="22">
        <v>34333.642999999996</v>
      </c>
      <c r="C44" s="22">
        <v>41152.126400000001</v>
      </c>
      <c r="D44" s="33">
        <v>2296</v>
      </c>
      <c r="E44" s="31">
        <v>17.923400000000001</v>
      </c>
      <c r="F44" s="33"/>
    </row>
    <row r="45" spans="1:6" x14ac:dyDescent="0.15">
      <c r="A45" s="28">
        <v>44409</v>
      </c>
      <c r="B45" s="22">
        <v>33317.775999999998</v>
      </c>
      <c r="C45" s="22">
        <v>40150.635200000004</v>
      </c>
      <c r="D45" s="33">
        <v>2268.5</v>
      </c>
      <c r="E45" s="31">
        <v>17.699200000000001</v>
      </c>
      <c r="F45" s="33"/>
    </row>
    <row r="46" spans="1:6" x14ac:dyDescent="0.15">
      <c r="A46" s="28">
        <v>44440</v>
      </c>
      <c r="B46" s="22">
        <v>32857.444000000003</v>
      </c>
      <c r="C46" s="22">
        <v>39537.247442</v>
      </c>
      <c r="D46" s="33">
        <v>2238.46</v>
      </c>
      <c r="E46" s="31">
        <v>17.662700000000001</v>
      </c>
      <c r="F46" s="33"/>
    </row>
    <row r="47" spans="1:6" x14ac:dyDescent="0.15">
      <c r="A47" s="28">
        <v>44470</v>
      </c>
      <c r="B47" s="22">
        <v>33102.642</v>
      </c>
      <c r="C47" s="22">
        <v>40192.533948000004</v>
      </c>
      <c r="D47" s="33">
        <v>2294.5700000000002</v>
      </c>
      <c r="E47" s="31">
        <v>17.516400000000001</v>
      </c>
      <c r="F47" s="33"/>
    </row>
    <row r="48" spans="1:6" x14ac:dyDescent="0.15">
      <c r="A48" s="28">
        <v>44501</v>
      </c>
      <c r="B48" s="22">
        <v>33471.048000000003</v>
      </c>
      <c r="C48" s="22">
        <v>44246.935560000005</v>
      </c>
      <c r="D48" s="33">
        <v>2495.4</v>
      </c>
      <c r="E48" s="31">
        <v>17.731400000000001</v>
      </c>
      <c r="F48" s="33"/>
    </row>
    <row r="49" spans="1:6" x14ac:dyDescent="0.15">
      <c r="A49" s="28">
        <v>44531</v>
      </c>
      <c r="B49" s="24">
        <v>33281.381999999998</v>
      </c>
      <c r="C49" s="24">
        <v>44471.245719999999</v>
      </c>
      <c r="D49" s="33">
        <v>2506.1</v>
      </c>
      <c r="E49" s="32">
        <v>17.745200000000001</v>
      </c>
      <c r="F49" s="33">
        <v>242078.62899999999</v>
      </c>
    </row>
    <row r="50" spans="1:6" x14ac:dyDescent="0.15">
      <c r="A50" s="29">
        <v>44562</v>
      </c>
      <c r="B50" s="23">
        <v>33393.214</v>
      </c>
      <c r="C50" s="23">
        <v>45809.800657</v>
      </c>
      <c r="D50" s="33">
        <v>2555.11</v>
      </c>
      <c r="E50" s="30">
        <v>17.928699999999999</v>
      </c>
      <c r="F50" s="33"/>
    </row>
    <row r="51" spans="1:6" x14ac:dyDescent="0.15">
      <c r="A51" s="28">
        <v>44593</v>
      </c>
      <c r="B51" s="22">
        <v>33061.669000000002</v>
      </c>
      <c r="C51" s="22">
        <v>46650.070540000001</v>
      </c>
      <c r="D51" s="33">
        <v>2565.6999999999998</v>
      </c>
      <c r="E51" s="31">
        <v>18.182200000000002</v>
      </c>
      <c r="F51" s="33"/>
    </row>
    <row r="52" spans="1:6" x14ac:dyDescent="0.15">
      <c r="A52" s="28">
        <v>44621</v>
      </c>
      <c r="B52" s="22">
        <v>32196.113000000001</v>
      </c>
      <c r="C52" s="22">
        <v>46565.026112</v>
      </c>
      <c r="D52" s="33">
        <v>2541.44</v>
      </c>
      <c r="E52" s="31">
        <v>18.322299999999998</v>
      </c>
      <c r="F52" s="33"/>
    </row>
    <row r="53" spans="1:6" x14ac:dyDescent="0.15">
      <c r="A53" s="28">
        <v>44652</v>
      </c>
      <c r="B53" s="22">
        <v>32032.978999999999</v>
      </c>
      <c r="C53" s="22">
        <v>45141.912764999994</v>
      </c>
      <c r="D53" s="33">
        <v>2435.4299999999998</v>
      </c>
      <c r="E53" s="31">
        <v>18.535499999999999</v>
      </c>
      <c r="F53" s="33"/>
    </row>
    <row r="54" spans="1:6" x14ac:dyDescent="0.15">
      <c r="A54" s="28">
        <v>44682</v>
      </c>
      <c r="B54" s="22">
        <v>31969.17</v>
      </c>
      <c r="C54" s="22">
        <v>47212.341709999993</v>
      </c>
      <c r="D54" s="33">
        <v>2475.6999999999998</v>
      </c>
      <c r="E54" s="31">
        <v>19.0703</v>
      </c>
      <c r="F54" s="33"/>
    </row>
    <row r="55" spans="1:6" x14ac:dyDescent="0.15">
      <c r="A55" s="28">
        <v>44713</v>
      </c>
      <c r="B55" s="22">
        <v>32220.536</v>
      </c>
      <c r="C55" s="22">
        <v>46671.810064000005</v>
      </c>
      <c r="D55" s="33">
        <v>2440.79</v>
      </c>
      <c r="E55" s="31">
        <v>19.121600000000001</v>
      </c>
      <c r="F55" s="33"/>
    </row>
    <row r="56" spans="1:6" x14ac:dyDescent="0.15">
      <c r="A56" s="28">
        <v>44743</v>
      </c>
      <c r="B56" s="22">
        <v>32049.241000000002</v>
      </c>
      <c r="C56" s="22">
        <v>49361.238166000003</v>
      </c>
      <c r="D56" s="33">
        <v>2553.37</v>
      </c>
      <c r="E56" s="31">
        <v>19.331800000000001</v>
      </c>
      <c r="F56" s="33"/>
    </row>
    <row r="57" spans="1:6" x14ac:dyDescent="0.15">
      <c r="A57" s="28">
        <v>44774</v>
      </c>
      <c r="B57" s="22">
        <v>32662.046999999999</v>
      </c>
      <c r="C57" s="22">
        <v>52768.520168000003</v>
      </c>
      <c r="D57" s="33">
        <v>2725.52</v>
      </c>
      <c r="E57" s="31">
        <v>19.360900000000001</v>
      </c>
      <c r="F57" s="33"/>
    </row>
    <row r="58" spans="1:6" x14ac:dyDescent="0.15">
      <c r="A58" s="28">
        <v>44805</v>
      </c>
      <c r="B58" s="22">
        <v>32962.462</v>
      </c>
      <c r="C58" s="22">
        <v>52537.983680000005</v>
      </c>
      <c r="D58" s="33">
        <v>2687.09</v>
      </c>
      <c r="E58" s="31">
        <v>19.552</v>
      </c>
      <c r="F58" s="33"/>
    </row>
    <row r="59" spans="1:6" x14ac:dyDescent="0.15">
      <c r="A59" s="28">
        <v>44835</v>
      </c>
      <c r="B59" s="22">
        <v>33176.964</v>
      </c>
      <c r="C59" s="22">
        <v>53407.735090000002</v>
      </c>
      <c r="D59" s="33">
        <v>2763.02</v>
      </c>
      <c r="E59" s="31">
        <v>19.329499999999999</v>
      </c>
      <c r="F59" s="33"/>
    </row>
    <row r="60" spans="1:6" x14ac:dyDescent="0.15">
      <c r="A60" s="28">
        <v>44866</v>
      </c>
      <c r="B60" s="22">
        <v>33235.209000000003</v>
      </c>
      <c r="C60" s="22">
        <v>57526.05</v>
      </c>
      <c r="D60" s="33">
        <v>2969.29</v>
      </c>
      <c r="E60" s="31">
        <v>19.373699999999999</v>
      </c>
      <c r="F60" s="33"/>
    </row>
    <row r="61" spans="1:6" x14ac:dyDescent="0.15">
      <c r="A61" s="28">
        <v>44896</v>
      </c>
      <c r="B61" s="24">
        <v>34492.400000000001</v>
      </c>
      <c r="C61" s="24">
        <v>60167.7</v>
      </c>
      <c r="D61" s="33">
        <v>3140.6</v>
      </c>
      <c r="E61" s="32">
        <v>19.157900000000001</v>
      </c>
      <c r="F61" s="33">
        <v>274207.49935022759</v>
      </c>
    </row>
    <row r="62" spans="1:6" x14ac:dyDescent="0.15">
      <c r="A62" s="29">
        <v>44927</v>
      </c>
      <c r="B62" s="23">
        <v>35081.385999999999</v>
      </c>
      <c r="C62" s="23">
        <v>63196.23</v>
      </c>
      <c r="D62" s="33">
        <v>3368.2</v>
      </c>
      <c r="E62" s="30">
        <v>18.762499999999999</v>
      </c>
      <c r="F62" s="33"/>
    </row>
    <row r="63" spans="1:6" x14ac:dyDescent="0.15">
      <c r="A63" s="28">
        <v>44958</v>
      </c>
      <c r="B63" s="22">
        <v>35086.69</v>
      </c>
      <c r="C63" s="22">
        <v>61909.59</v>
      </c>
      <c r="D63" s="33">
        <v>3279.4</v>
      </c>
      <c r="E63" s="31">
        <v>18.878499999999999</v>
      </c>
      <c r="F63" s="33"/>
    </row>
    <row r="64" spans="1:6" x14ac:dyDescent="0.15">
      <c r="A64" s="28">
        <v>44986</v>
      </c>
      <c r="B64" s="22">
        <v>34875.120000000003</v>
      </c>
      <c r="C64" s="22">
        <v>61712.119999999995</v>
      </c>
      <c r="D64" s="33">
        <v>3352.86</v>
      </c>
      <c r="E64" s="31">
        <v>18.405799999999999</v>
      </c>
      <c r="F64" s="33"/>
    </row>
    <row r="65" spans="1:6" x14ac:dyDescent="0.15">
      <c r="A65" s="28">
        <v>45017</v>
      </c>
      <c r="B65" s="22">
        <v>36341.599999999999</v>
      </c>
      <c r="C65" s="22">
        <v>62689.9</v>
      </c>
      <c r="D65" s="33">
        <v>3479.8</v>
      </c>
      <c r="E65" s="31">
        <v>18.015499999999999</v>
      </c>
      <c r="F65" s="33"/>
    </row>
    <row r="66" spans="1:6" x14ac:dyDescent="0.15">
      <c r="A66" s="28">
        <v>45047</v>
      </c>
      <c r="B66" s="22">
        <v>36518.300000000003</v>
      </c>
      <c r="C66" s="22">
        <v>60971.97</v>
      </c>
      <c r="D66" s="33">
        <v>3426.57</v>
      </c>
      <c r="E66" s="31">
        <v>17.793900000000001</v>
      </c>
      <c r="F66" s="33"/>
    </row>
    <row r="67" spans="1:6" x14ac:dyDescent="0.15">
      <c r="A67" s="28">
        <v>45078</v>
      </c>
      <c r="B67" s="22">
        <v>36812.080000000002</v>
      </c>
      <c r="C67" s="22">
        <v>63124.88</v>
      </c>
      <c r="D67" s="33">
        <v>3453.71</v>
      </c>
      <c r="E67" s="31">
        <v>18.2774</v>
      </c>
      <c r="F67" s="33"/>
    </row>
    <row r="68" spans="1:6" x14ac:dyDescent="0.15">
      <c r="A68" s="28">
        <v>45108</v>
      </c>
      <c r="B68" s="22">
        <v>38602.5</v>
      </c>
      <c r="C68" s="22">
        <v>62568.92</v>
      </c>
      <c r="D68" s="33">
        <v>3497.17</v>
      </c>
      <c r="E68" s="31">
        <v>17.891300000000001</v>
      </c>
      <c r="F68" s="33"/>
    </row>
    <row r="69" spans="1:6" x14ac:dyDescent="0.15">
      <c r="A69" s="28">
        <v>45139</v>
      </c>
      <c r="B69" s="22">
        <v>38952.69</v>
      </c>
      <c r="C69" s="22">
        <v>57788.27</v>
      </c>
      <c r="D69" s="33">
        <v>3233.96</v>
      </c>
      <c r="E69" s="31">
        <v>17.869199999999999</v>
      </c>
      <c r="F69" s="33"/>
    </row>
    <row r="70" spans="1:6" x14ac:dyDescent="0.15">
      <c r="A70" s="28">
        <v>45170</v>
      </c>
      <c r="B70" s="22">
        <v>39823.589999999997</v>
      </c>
      <c r="C70" s="22">
        <v>58525.93</v>
      </c>
      <c r="D70" s="33">
        <v>3223.63</v>
      </c>
      <c r="E70" s="31">
        <v>18.1553</v>
      </c>
      <c r="F70" s="33"/>
    </row>
    <row r="71" spans="1:6" x14ac:dyDescent="0.15">
      <c r="A71" s="28">
        <v>45200</v>
      </c>
      <c r="B71" s="22">
        <v>39194.53</v>
      </c>
      <c r="C71" s="22">
        <v>61997.69</v>
      </c>
      <c r="D71" s="33">
        <v>3414.91</v>
      </c>
      <c r="E71" s="31">
        <v>18.155000000000001</v>
      </c>
      <c r="F71" s="33"/>
    </row>
    <row r="72" spans="1:6" x14ac:dyDescent="0.15">
      <c r="A72" s="28">
        <v>45231</v>
      </c>
      <c r="B72" s="22">
        <v>38968.089999999997</v>
      </c>
      <c r="C72" s="22">
        <v>62552.6</v>
      </c>
      <c r="D72" s="33">
        <v>3505.6</v>
      </c>
      <c r="E72" s="31">
        <v>17.843499999999999</v>
      </c>
      <c r="F72" s="33"/>
    </row>
    <row r="73" spans="1:6" x14ac:dyDescent="0.15">
      <c r="A73" s="28">
        <v>45261</v>
      </c>
      <c r="B73" s="24">
        <v>39666.120000000003</v>
      </c>
      <c r="C73" s="24">
        <v>64336.99</v>
      </c>
      <c r="D73" s="33">
        <v>3696.21</v>
      </c>
      <c r="E73" s="32">
        <v>17.406199999999998</v>
      </c>
      <c r="F73" s="33">
        <v>303554</v>
      </c>
    </row>
    <row r="74" spans="1:6" x14ac:dyDescent="0.15">
      <c r="A74" s="29">
        <v>45292</v>
      </c>
      <c r="B74" s="23">
        <v>39855.519999999997</v>
      </c>
      <c r="C74" s="23">
        <v>63951.15</v>
      </c>
      <c r="D74" s="33">
        <v>3605.01</v>
      </c>
      <c r="E74" s="30">
        <v>17.7395</v>
      </c>
      <c r="F74" s="33"/>
    </row>
    <row r="75" spans="1:6" x14ac:dyDescent="0.15">
      <c r="A75" s="28">
        <v>45323</v>
      </c>
      <c r="B75" s="22">
        <v>40546.71</v>
      </c>
      <c r="C75" s="22">
        <v>64545.1</v>
      </c>
      <c r="D75" s="33">
        <v>3620.535689244145</v>
      </c>
      <c r="E75" s="31">
        <v>17.827500000000001</v>
      </c>
      <c r="F75" s="33"/>
    </row>
    <row r="76" spans="1:6" x14ac:dyDescent="0.15">
      <c r="A76" s="28">
        <v>45352</v>
      </c>
      <c r="B76" s="22">
        <v>42110.400000000001</v>
      </c>
      <c r="C76" s="22">
        <v>63689.36</v>
      </c>
      <c r="D76" s="33">
        <v>3609.51</v>
      </c>
      <c r="E76" s="31">
        <v>17.6449</v>
      </c>
      <c r="F76" s="33"/>
    </row>
    <row r="77" spans="1:6" x14ac:dyDescent="0.15">
      <c r="A77" s="28">
        <v>45383</v>
      </c>
      <c r="B77" s="22">
        <v>42491.64</v>
      </c>
      <c r="C77" s="22">
        <v>63687.55</v>
      </c>
      <c r="D77" s="33">
        <v>3574.6</v>
      </c>
      <c r="E77" s="31">
        <v>17.816700000000001</v>
      </c>
      <c r="F77" s="33"/>
    </row>
    <row r="78" spans="1:6" x14ac:dyDescent="0.15">
      <c r="A78" s="28">
        <v>45413</v>
      </c>
      <c r="B78" s="22">
        <v>41716.85</v>
      </c>
      <c r="C78" s="22">
        <v>62871.91</v>
      </c>
      <c r="D78" s="33">
        <v>3552.51</v>
      </c>
      <c r="E78" s="31">
        <v>17.697900000000001</v>
      </c>
      <c r="F78" s="33"/>
    </row>
    <row r="79" spans="1:6" x14ac:dyDescent="0.15">
      <c r="A79" s="28">
        <v>45444</v>
      </c>
      <c r="B79" s="22">
        <v>43812.959999999999</v>
      </c>
      <c r="C79" s="22">
        <v>63227.4</v>
      </c>
      <c r="D79" s="33">
        <v>3526.6</v>
      </c>
      <c r="E79" s="31">
        <v>17.928699999999999</v>
      </c>
      <c r="F79" s="33"/>
    </row>
    <row r="80" spans="1:6" x14ac:dyDescent="0.15">
      <c r="A80" s="28">
        <v>45474</v>
      </c>
      <c r="B80" s="22">
        <v>43916.800000000003</v>
      </c>
      <c r="C80" s="22">
        <v>65807.740000000005</v>
      </c>
      <c r="D80" s="33">
        <v>3712.06</v>
      </c>
      <c r="E80" s="31">
        <v>17.728100000000001</v>
      </c>
      <c r="F80" s="33"/>
    </row>
    <row r="81" spans="1:6" x14ac:dyDescent="0.15">
      <c r="A81" s="28">
        <v>45505</v>
      </c>
      <c r="B81" s="22">
        <v>42476.62</v>
      </c>
      <c r="C81" s="22">
        <v>66338.149999999994</v>
      </c>
      <c r="D81" s="33">
        <v>3812.65</v>
      </c>
      <c r="E81" s="31">
        <v>17.3995</v>
      </c>
      <c r="F81" s="33"/>
    </row>
    <row r="82" spans="1:6" x14ac:dyDescent="0.15">
      <c r="A82" s="28">
        <v>45536</v>
      </c>
      <c r="B82" s="22">
        <v>42373.52</v>
      </c>
      <c r="C82" s="22">
        <v>67552.47</v>
      </c>
      <c r="D82" s="33">
        <v>3876.76</v>
      </c>
      <c r="E82" s="31">
        <v>17.425000000000001</v>
      </c>
      <c r="F82" s="33"/>
    </row>
    <row r="83" spans="1:6" x14ac:dyDescent="0.15">
      <c r="A83" s="28">
        <v>45566</v>
      </c>
      <c r="B83" s="22">
        <v>41007.089999999997</v>
      </c>
      <c r="C83" s="22">
        <v>68498.789999999994</v>
      </c>
      <c r="D83" s="33">
        <v>3821.47</v>
      </c>
      <c r="E83" s="31">
        <v>17.924700000000001</v>
      </c>
      <c r="F83" s="33"/>
    </row>
    <row r="84" spans="1:6" x14ac:dyDescent="0.15">
      <c r="A84" s="28">
        <v>45597</v>
      </c>
      <c r="B84" s="22">
        <v>42865.15</v>
      </c>
      <c r="C84" s="22">
        <v>68738.490000000005</v>
      </c>
      <c r="D84" s="33">
        <v>3759.02</v>
      </c>
      <c r="E84" s="31">
        <v>18.286300000000001</v>
      </c>
      <c r="F84" s="33"/>
    </row>
    <row r="85" spans="1:6" x14ac:dyDescent="0.15">
      <c r="A85" s="28">
        <v>45627</v>
      </c>
      <c r="B85" s="24">
        <v>43961.18</v>
      </c>
      <c r="C85" s="24">
        <v>77434.399999999994</v>
      </c>
      <c r="D85" s="33">
        <v>4190.38</v>
      </c>
      <c r="E85" s="32">
        <v>18.479099999999999</v>
      </c>
      <c r="F85" s="33">
        <v>323932.49400000001</v>
      </c>
    </row>
    <row r="86" spans="1:6" x14ac:dyDescent="0.15">
      <c r="A86" s="29">
        <v>45658</v>
      </c>
      <c r="B86" s="23">
        <v>44328.3</v>
      </c>
      <c r="C86" s="23">
        <v>77867.497187012137</v>
      </c>
      <c r="D86" s="33">
        <v>4169.2990719310001</v>
      </c>
      <c r="E86" s="30">
        <v>18.676400000000001</v>
      </c>
      <c r="F86" s="33"/>
    </row>
    <row r="87" spans="1:6" x14ac:dyDescent="0.15">
      <c r="A87" s="28">
        <v>45689</v>
      </c>
      <c r="B87" s="22">
        <v>45298.53</v>
      </c>
      <c r="C87" s="22">
        <v>78324.028756999978</v>
      </c>
      <c r="D87" s="33">
        <v>4201.7299999999996</v>
      </c>
      <c r="E87" s="31">
        <v>18.640899999999998</v>
      </c>
      <c r="F87" s="33"/>
    </row>
    <row r="88" spans="1:6" x14ac:dyDescent="0.15">
      <c r="A88" s="28">
        <v>45717</v>
      </c>
      <c r="B88" s="22">
        <v>46748.69</v>
      </c>
      <c r="C88" s="22">
        <v>76219.363899000004</v>
      </c>
      <c r="D88" s="33">
        <v>4222.8900000000003</v>
      </c>
      <c r="E88" s="31">
        <v>18.049099999999999</v>
      </c>
      <c r="F88" s="33"/>
    </row>
    <row r="89" spans="1:6" x14ac:dyDescent="0.15">
      <c r="A89" s="28">
        <v>45748</v>
      </c>
      <c r="B89" s="22">
        <v>48088.29</v>
      </c>
      <c r="C89" s="22">
        <v>74915.818013999989</v>
      </c>
      <c r="D89" s="33">
        <v>4354.71</v>
      </c>
      <c r="E89" s="31">
        <v>17.203399999999998</v>
      </c>
      <c r="F89" s="33"/>
    </row>
    <row r="90" spans="1:6" x14ac:dyDescent="0.15">
      <c r="A90" s="28">
        <v>45778</v>
      </c>
      <c r="B90" s="22">
        <v>48778.86</v>
      </c>
      <c r="C90" s="22">
        <v>73322.864999999991</v>
      </c>
      <c r="D90" s="33">
        <v>4232.2</v>
      </c>
      <c r="E90" s="31">
        <v>17.324999999999999</v>
      </c>
      <c r="F90" s="33"/>
    </row>
    <row r="91" spans="1:6" x14ac:dyDescent="0.15">
      <c r="A91" s="28">
        <v>45809</v>
      </c>
      <c r="B91" s="22">
        <v>48478.44</v>
      </c>
      <c r="C91" s="22">
        <v>78698</v>
      </c>
      <c r="D91" s="33">
        <v>4671.49</v>
      </c>
      <c r="E91" s="31">
        <v>16.847200000000001</v>
      </c>
      <c r="F91" s="33"/>
    </row>
    <row r="92" spans="1:6" x14ac:dyDescent="0.15">
      <c r="A92" s="28">
        <v>45839</v>
      </c>
      <c r="B92" s="22">
        <v>46204.65</v>
      </c>
      <c r="C92" s="22">
        <v>78021.8</v>
      </c>
      <c r="D92" s="33">
        <v>4561.45</v>
      </c>
      <c r="E92" s="31">
        <v>17.100000000000001</v>
      </c>
      <c r="F92" s="33"/>
    </row>
    <row r="93" spans="1:6" x14ac:dyDescent="0.15">
      <c r="A93" s="28">
        <v>45870</v>
      </c>
      <c r="B93" s="22">
        <v>47357.19</v>
      </c>
      <c r="C93" s="22">
        <v>78384.240000000005</v>
      </c>
      <c r="D93" s="33">
        <v>4711.16</v>
      </c>
      <c r="E93" s="31">
        <v>16.399999999999999</v>
      </c>
      <c r="F93" s="33"/>
    </row>
    <row r="94" spans="1:6" x14ac:dyDescent="0.15">
      <c r="A94" s="28">
        <v>45901</v>
      </c>
      <c r="B94" s="22">
        <v>47859.54</v>
      </c>
      <c r="C94" s="22">
        <v>79413.3</v>
      </c>
      <c r="D94" s="33">
        <v>4746.1400000000003</v>
      </c>
      <c r="E94" s="31">
        <v>16.73</v>
      </c>
    </row>
    <row r="95" spans="1:6" x14ac:dyDescent="0.15">
      <c r="A95" s="28">
        <v>45931</v>
      </c>
      <c r="B95" s="22">
        <v>48674.45</v>
      </c>
      <c r="C95" s="22">
        <v>79974.460000000006</v>
      </c>
      <c r="D95" s="33">
        <v>4696.2299999999996</v>
      </c>
      <c r="E95" s="31">
        <v>17.02</v>
      </c>
    </row>
    <row r="96" spans="1:6" x14ac:dyDescent="0.15">
      <c r="A96" s="28">
        <v>45962</v>
      </c>
      <c r="B96" s="22">
        <v>49547.46</v>
      </c>
      <c r="C96" s="22">
        <v>79584.27</v>
      </c>
      <c r="D96" s="33">
        <v>4682.58</v>
      </c>
      <c r="E96" s="31">
        <v>16.989999999999998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Venituri</vt:lpstr>
      <vt:lpstr>Cheltuieli_F</vt:lpstr>
      <vt:lpstr>Cheltuieli_CE</vt:lpstr>
      <vt:lpstr>Datoria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User-221</dc:creator>
  <cp:keywords/>
  <dc:description/>
  <cp:lastModifiedBy>Daniel Lupacescu</cp:lastModifiedBy>
  <cp:revision/>
  <dcterms:created xsi:type="dcterms:W3CDTF">2015-06-05T18:17:20Z</dcterms:created>
  <dcterms:modified xsi:type="dcterms:W3CDTF">2026-05-14T08:08:28Z</dcterms:modified>
  <cp:category/>
  <cp:contentStatus/>
</cp:coreProperties>
</file>