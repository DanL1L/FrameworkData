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y\Desktop\FrameworkData-main\data\"/>
    </mc:Choice>
  </mc:AlternateContent>
  <bookViews>
    <workbookView xWindow="0" yWindow="0" windowWidth="28800" windowHeight="11745"/>
  </bookViews>
  <sheets>
    <sheet name="EX_IM_gap model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localSheetId="0" hidden="1">#REF!</definedName>
    <definedName name="__123Graph_A" hidden="1">#REF!</definedName>
    <definedName name="__123Graph_AREER" localSheetId="0" hidden="1">[1]ER!#REF!</definedName>
    <definedName name="__123Graph_AREER" hidden="1">[1]ER!#REF!</definedName>
    <definedName name="__123Graph_B" localSheetId="0" hidden="1">'[2]Quarterly Program'!#REF!</definedName>
    <definedName name="__123Graph_B" hidden="1">'[2]Quarterly Program'!#REF!</definedName>
    <definedName name="__123Graph_BCurrent" localSheetId="0" hidden="1">[3]G!#REF!</definedName>
    <definedName name="__123Graph_BCurrent" hidden="1">[3]G!#REF!</definedName>
    <definedName name="__123Graph_BGDP" localSheetId="0" hidden="1">'[2]Quarterly Program'!#REF!</definedName>
    <definedName name="__123Graph_BGDP" hidden="1">'[2]Quarterly Program'!#REF!</definedName>
    <definedName name="__123Graph_BMONEY" localSheetId="0" hidden="1">'[2]Quarterly Program'!#REF!</definedName>
    <definedName name="__123Graph_BMONEY" hidden="1">'[2]Quarterly Program'!#REF!</definedName>
    <definedName name="__123Graph_BREER" localSheetId="0" hidden="1">[1]ER!#REF!</definedName>
    <definedName name="__123Graph_BREER" hidden="1">[1]ER!#REF!</definedName>
    <definedName name="__123Graph_CREER" localSheetId="0" hidden="1">[1]ER!#REF!</definedName>
    <definedName name="__123Graph_CREER" hidden="1">[1]ER!#REF!</definedName>
    <definedName name="_1" localSheetId="0" hidden="1">#REF!</definedName>
    <definedName name="_1" hidden="1">#REF!</definedName>
    <definedName name="_11__123Graph_BCPI_ER_LOG" localSheetId="0" hidden="1">#REF!</definedName>
    <definedName name="_11__123Graph_BCPI_ER_LOG" hidden="1">#REF!</definedName>
    <definedName name="_13__123Graph_BIBA_IBRD" localSheetId="0" hidden="1">#REF!</definedName>
    <definedName name="_13__123Graph_BIBA_IBRD" hidden="1">#REF!</definedName>
    <definedName name="_15__123Graph_ACPI_ER_LOG" localSheetId="0" hidden="1">#REF!</definedName>
    <definedName name="_15__123Graph_ACPI_ER_LOG" hidden="1">#REF!</definedName>
    <definedName name="_20__123Graph_BCPI_ER_LOG" localSheetId="0" hidden="1">#REF!</definedName>
    <definedName name="_20__123Graph_BCPI_ER_LOG" hidden="1">#REF!</definedName>
    <definedName name="_25__123Graph_BIBA_IBRD" localSheetId="0" hidden="1">#REF!</definedName>
    <definedName name="_25__123Graph_BIBA_IBRD" hidden="1">#REF!</definedName>
    <definedName name="_3__123Graph_ACPI_ER_LOG" localSheetId="0" hidden="1">[4]ER!#REF!</definedName>
    <definedName name="_3__123Graph_ACPI_ER_LOG" hidden="1">[4]ER!#REF!</definedName>
    <definedName name="_4__123Graph_BCPI_ER_LOG" localSheetId="0" hidden="1">[4]ER!#REF!</definedName>
    <definedName name="_4__123Graph_BCPI_ER_LOG" hidden="1">[4]ER!#REF!</definedName>
    <definedName name="_5__123Graph_ACPI_ER_LOG" localSheetId="0" hidden="1">#REF!</definedName>
    <definedName name="_5__123Graph_ACPI_ER_LOG" hidden="1">#REF!</definedName>
    <definedName name="_5__123Graph_BIBA_IBRD" localSheetId="0" hidden="1">[4]WB!#REF!</definedName>
    <definedName name="_5__123Graph_BIBA_IBRD" hidden="1">[4]WB!#REF!</definedName>
    <definedName name="_6__123Graph_ACPI_ER_LOG" localSheetId="0" hidden="1">[1]ER!#REF!</definedName>
    <definedName name="_6__123Graph_ACPI_ER_LOG" hidden="1">[1]ER!#REF!</definedName>
    <definedName name="_7__123Graph_BCPI_ER_LOG" localSheetId="0" hidden="1">[1]ER!#REF!</definedName>
    <definedName name="_7__123Graph_BCPI_ER_LOG" hidden="1">[1]ER!#REF!</definedName>
    <definedName name="_8__123Graph_BIBA_IBRD" localSheetId="0" hidden="1">[1]WB!#REF!</definedName>
    <definedName name="_8__123Graph_BIBA_IBRD" hidden="1">[1]WB!#REF!</definedName>
    <definedName name="_9__123Graph_ACPI_ER_LOG" localSheetId="0" hidden="1">#REF!</definedName>
    <definedName name="_9__123Graph_ACPI_ER_LOG" hidden="1">#REF!</definedName>
    <definedName name="_9__123Graph_BIBA_IBRD" localSheetId="0" hidden="1">#REF!</definedName>
    <definedName name="_9__123Graph_BIBA_IBRD" hidden="1">#REF!</definedName>
    <definedName name="_AMO_UniqueIdentifier" hidden="1">"'dfdee4c9-c302-432d-adeb-02968873dd32'"</definedName>
    <definedName name="_DLX1.USE">#REF!</definedName>
    <definedName name="_DLX10.USE">[5]Data!#REF!</definedName>
    <definedName name="_DLX2.USE">#REF!</definedName>
    <definedName name="_DLX3.USE">#REF!</definedName>
    <definedName name="_DLX4.USE">#REF!</definedName>
    <definedName name="_DLX5.USE">#REF!</definedName>
    <definedName name="_Fill" localSheetId="0" hidden="1">#REF!</definedName>
    <definedName name="_Fill" hidden="1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anscount" hidden="1">1</definedName>
    <definedName name="bb" hidden="1">{"Riqfin97",#N/A,FALSE,"Tran";"Riqfinpro",#N/A,FALSE,"Tran"}</definedName>
    <definedName name="caca" hidden="1">{#N/A,#N/A,FALSE,"CB";#N/A,#N/A,FALSE,"CMB";#N/A,#N/A,FALSE,"BSYS";#N/A,#N/A,FALSE,"NBFI";#N/A,#N/A,FALSE,"FSYS"}</definedName>
    <definedName name="cc" hidden="1">{"Riqfin97",#N/A,FALSE,"Tran";"Riqfinpro",#N/A,FALSE,"Tran"}</definedName>
    <definedName name="CCODE">[6]Tasks!$C$7</definedName>
    <definedName name="chart4" hidden="1">{#N/A,#N/A,FALSE,"CB";#N/A,#N/A,FALSE,"CMB";#N/A,#N/A,FALSE,"NBFI"}</definedName>
    <definedName name="chart4_1" hidden="1">{#N/A,#N/A,FALSE,"CB";#N/A,#N/A,FALSE,"CMB";#N/A,#N/A,FALSE,"NBFI"}</definedName>
    <definedName name="chart4_2" hidden="1">{#N/A,#N/A,FALSE,"CB";#N/A,#N/A,FALSE,"CMB";#N/A,#N/A,FALSE,"NBFI"}</definedName>
    <definedName name="ChartA" hidden="1">{#N/A,#N/A,FALSE,"CB";#N/A,#N/A,FALSE,"CMB";#N/A,#N/A,FALSE,"NBFI"}</definedName>
    <definedName name="ChartA_1" hidden="1">{#N/A,#N/A,FALSE,"CB";#N/A,#N/A,FALSE,"CMB";#N/A,#N/A,FALSE,"NBFI"}</definedName>
    <definedName name="ChartA_2" hidden="1">{#N/A,#N/A,FALSE,"CB";#N/A,#N/A,FALSE,"CMB";#N/A,#N/A,FALSE,"NBFI"}</definedName>
    <definedName name="Chartvel" hidden="1">{#N/A,#N/A,FALSE,"CB";#N/A,#N/A,FALSE,"CMB";#N/A,#N/A,FALSE,"BSYS";#N/A,#N/A,FALSE,"NBFI";#N/A,#N/A,FALSE,"FSYS"}</definedName>
    <definedName name="Chartvel_1" hidden="1">{#N/A,#N/A,FALSE,"CB";#N/A,#N/A,FALSE,"CMB";#N/A,#N/A,FALSE,"BSYS";#N/A,#N/A,FALSE,"NBFI";#N/A,#N/A,FALSE,"FSYS"}</definedName>
    <definedName name="Chartvel_2" hidden="1">{#N/A,#N/A,FALSE,"CB";#N/A,#N/A,FALSE,"CMB";#N/A,#N/A,FALSE,"BSYS";#N/A,#N/A,FALSE,"NBFI";#N/A,#N/A,FALSE,"FSYS"}</definedName>
    <definedName name="COUNTRY">[6]Tasks!$C$5</definedName>
    <definedName name="CPI_B">[6]Prices!$F$18</definedName>
    <definedName name="CPI_P">[6]Prices!$G$18</definedName>
    <definedName name="dd" hidden="1">{"Riqfin97",#N/A,FALSE,"Tran";"Riqfinpro",#N/A,FALSE,"Tran"}</definedName>
    <definedName name="ddd" hidden="1">{"Riqfin97",#N/A,FALSE,"Tran";"Riqfinpro",#N/A,FALSE,"Tran"}</definedName>
    <definedName name="ee" hidden="1">{"Tab1",#N/A,FALSE,"P";"Tab2",#N/A,FALSE,"P"}</definedName>
    <definedName name="eee" hidden="1">{"Tab1",#N/A,FALSE,"P";"Tab2",#N/A,FALSE,"P"}</definedName>
    <definedName name="ff" hidden="1">{"Tab1",#N/A,FALSE,"P";"Tab2",#N/A,FALSE,"P"}</definedName>
    <definedName name="fff" hidden="1">{"Tab1",#N/A,FALSE,"P";"Tab2",#N/A,FALSE,"P"}</definedName>
    <definedName name="FYEAR">[6]Tasks!$C$4</definedName>
    <definedName name="ggg" hidden="1">{"Riqfin97",#N/A,FALSE,"Tran";"Riqfinpro",#N/A,FALSE,"Tran"}</definedName>
    <definedName name="ggggg" localSheetId="0" hidden="1">'[7]J(Priv.Cap)'!#REF!</definedName>
    <definedName name="ggggg" hidden="1">'[7]J(Priv.Cap)'!#REF!</definedName>
    <definedName name="hello" hidden="1">{#N/A,#N/A,FALSE,"CB";#N/A,#N/A,FALSE,"CMB";#N/A,#N/A,FALSE,"BSYS";#N/A,#N/A,FALSE,"NBFI";#N/A,#N/A,FALSE,"FSYS"}</definedName>
    <definedName name="hello_1" hidden="1">{#N/A,#N/A,FALSE,"CB";#N/A,#N/A,FALSE,"CMB";#N/A,#N/A,FALSE,"BSYS";#N/A,#N/A,FALSE,"NBFI";#N/A,#N/A,FALSE,"FSYS"}</definedName>
    <definedName name="hello_2" hidden="1">{#N/A,#N/A,FALSE,"CB";#N/A,#N/A,FALSE,"CMB";#N/A,#N/A,FALSE,"BSYS";#N/A,#N/A,FALSE,"NBFI";#N/A,#N/A,FALSE,"FSYS"}</definedName>
    <definedName name="hhh" localSheetId="0" hidden="1">'[8]J(Priv.Cap)'!#REF!</definedName>
    <definedName name="hhh" hidden="1">'[8]J(Priv.Cap)'!#REF!</definedName>
    <definedName name="ii" hidden="1">{"Tab1",#N/A,FALSE,"P";"Tab2",#N/A,FALSE,"P"}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an" hidden="1">{#N/A,#N/A,FALSE,"CB";#N/A,#N/A,FALSE,"CMB";#N/A,#N/A,FALSE,"NBFI"}</definedName>
    <definedName name="jan_1" hidden="1">{#N/A,#N/A,FALSE,"CB";#N/A,#N/A,FALSE,"CMB";#N/A,#N/A,FALSE,"NBFI"}</definedName>
    <definedName name="jan_2" hidden="1">{#N/A,#N/A,FALSE,"CB";#N/A,#N/A,FALSE,"CMB";#N/A,#N/A,FALSE,"NBFI"}</definedName>
    <definedName name="jj" hidden="1">{"Riqfin97",#N/A,FALSE,"Tran";"Riqfinpro",#N/A,FALSE,"Tran"}</definedName>
    <definedName name="jjj" localSheetId="0" hidden="1">[9]M!#REF!</definedName>
    <definedName name="jjj" hidden="1">[9]M!#REF!</definedName>
    <definedName name="jjjjjj" localSheetId="0" hidden="1">'[7]J(Priv.Cap)'!#REF!</definedName>
    <definedName name="jjjjjj" hidden="1">'[7]J(Priv.Cap)'!#REF!</definedName>
    <definedName name="kk" hidden="1">{"Tab1",#N/A,FALSE,"P";"Tab2",#N/A,FALSE,"P"}</definedName>
    <definedName name="kkkk" localSheetId="0" hidden="1">[10]M!#REF!</definedName>
    <definedName name="kkkk" hidden="1">[10]M!#REF!</definedName>
    <definedName name="ll" hidden="1">{"Tab1",#N/A,FALSE,"P";"Tab2",#N/A,FALSE,"P"}</definedName>
    <definedName name="lll" hidden="1">{"Riqfin97",#N/A,FALSE,"Tran";"Riqfinpro",#N/A,FALSE,"Tran"}</definedName>
    <definedName name="llll" localSheetId="0" hidden="1">[9]M!#REF!</definedName>
    <definedName name="llll" hidden="1">[9]M!#REF!</definedName>
    <definedName name="mmm" hidden="1">{"Riqfin97",#N/A,FALSE,"Tran";"Riqfinpro",#N/A,FALSE,"Tran"}</definedName>
    <definedName name="mmmm" hidden="1">{"Tab1",#N/A,FALSE,"P";"Tab2",#N/A,FALSE,"P"}</definedName>
    <definedName name="nn" hidden="1">{"Riqfin97",#N/A,FALSE,"Tran";"Riqfinpro",#N/A,FALSE,"Tran"}</definedName>
    <definedName name="nnn" hidden="1">{"Tab1",#N/A,FALSE,"P";"Tab2",#N/A,FALSE,"P"}</definedName>
    <definedName name="oo" hidden="1">{"Riqfin97",#N/A,FALSE,"Tran";"Riqfinpro",#N/A,FALSE,"Tran"}</definedName>
    <definedName name="ooo" hidden="1">{"Tab1",#N/A,FALSE,"P";"Tab2",#N/A,FALSE,"P"}</definedName>
    <definedName name="p" hidden="1">{"Riqfin97",#N/A,FALSE,"Tran";"Riqfinpro",#N/A,FALSE,"Tran"}</definedName>
    <definedName name="pp" hidden="1">{"Riqfin97",#N/A,FALSE,"Tran";"Riqfinpro",#N/A,FALSE,"Tran"}</definedName>
    <definedName name="ppp" hidden="1">{"Riqfin97",#N/A,FALSE,"Tran";"Riqfinpro",#N/A,FALSE,"Tran"}</definedName>
    <definedName name="_xlnm.Print_Area" localSheetId="0">#REF!</definedName>
    <definedName name="_xlnm.Print_Area">#REF!</definedName>
    <definedName name="qq" localSheetId="0" hidden="1">'[8]J(Priv.Cap)'!#REF!</definedName>
    <definedName name="qq" hidden="1">'[8]J(Priv.Cap)'!#REF!</definedName>
    <definedName name="qqq" hidden="1">{#N/A,#N/A,FALSE,"EXTRABUDGT"}</definedName>
    <definedName name="qqq_1" hidden="1">{#N/A,#N/A,FALSE,"EXTRABUDGT"}</definedName>
    <definedName name="qqq_2" hidden="1">{#N/A,#N/A,FALSE,"EXTRABUDGT"}</definedName>
    <definedName name="rr" hidden="1">{"Riqfin97",#N/A,FALSE,"Tran";"Riqfinpro",#N/A,FALSE,"Tran"}</definedName>
    <definedName name="rrr" hidden="1">{"Riqfin97",#N/A,FALSE,"Tran";"Riqfinpro",#N/A,FALSE,"Tran"}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s_1" hidden="1">{"BOP_TAB",#N/A,FALSE,"N";"MIDTERM_TAB",#N/A,FALSE,"O";"FUND_CRED",#N/A,FALSE,"P";"DEBT_TAB1",#N/A,FALSE,"Q";"DEBT_TAB2",#N/A,FALSE,"Q";"FORFIN_TAB1",#N/A,FALSE,"R";"FORFIN_TAB2",#N/A,FALSE,"R";"BOP_ANALY",#N/A,FALSE,"U"}</definedName>
    <definedName name="rs_2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et_1" hidden="1">{#N/A,#N/A,FALSE,"SimInp1";#N/A,#N/A,FALSE,"SimInp2";#N/A,#N/A,FALSE,"SimOut1";#N/A,#N/A,FALSE,"SimOut2";#N/A,#N/A,FALSE,"SimOut3";#N/A,#N/A,FALSE,"SimOut4";#N/A,#N/A,FALSE,"SimOut5"}</definedName>
    <definedName name="teset_2" hidden="1">{#N/A,#N/A,FALSE,"SimInp1";#N/A,#N/A,FALSE,"SimInp2";#N/A,#N/A,FALSE,"SimOut1";#N/A,#N/A,FALSE,"SimOut2";#N/A,#N/A,FALSE,"SimOut3";#N/A,#N/A,FALSE,"SimOut4";#N/A,#N/A,FALSE,"SimOut5"}</definedName>
    <definedName name="tt" hidden="1">{"Tab1",#N/A,FALSE,"P";"Tab2",#N/A,FALSE,"P"}</definedName>
    <definedName name="ttt" hidden="1">{"Tab1",#N/A,FALSE,"P";"Tab2",#N/A,FALSE,"P"}</definedName>
    <definedName name="ttttt" localSheetId="0" hidden="1">[9]M!#REF!</definedName>
    <definedName name="ttttt" hidden="1">[9]M!#REF!</definedName>
    <definedName name="uu" hidden="1">{"Riqfin97",#N/A,FALSE,"Tran";"Riqfinpro",#N/A,FALSE,"Tran"}</definedName>
    <definedName name="uuu" hidden="1">{"Riqfin97",#N/A,FALSE,"Tran";"Riqfinpro",#N/A,FALSE,"Tran"}</definedName>
    <definedName name="vv" hidden="1">{"Tab1",#N/A,FALSE,"P";"Tab2",#N/A,FALSE,"P"}</definedName>
    <definedName name="vvv" hidden="1">{"Tab1",#N/A,FALSE,"P";"Tab2",#N/A,FALSE,"P"}</definedName>
    <definedName name="wrn.BANKS." hidden="1">{#N/A,#N/A,FALSE,"BANKS"}</definedName>
    <definedName name="wrn.BANKS._1" hidden="1">{#N/A,#N/A,FALSE,"BANKS"}</definedName>
    <definedName name="wrn.BANKS._2" hidden="1">{#N/A,#N/A,FALSE,"BANKS"}</definedName>
    <definedName name="wrn.BOP." hidden="1">{#N/A,#N/A,FALSE,"BOP"}</definedName>
    <definedName name="wrn.BOP._1" hidden="1">{#N/A,#N/A,FALSE,"BOP"}</definedName>
    <definedName name="wrn.BOP._2" hidden="1">{#N/A,#N/A,FALSE,"BOP"}</definedName>
    <definedName name="wrn.BOP_MIDTERM." hidden="1">{"BOP_TAB",#N/A,FALSE,"N";"MIDTERM_TAB",#N/A,FALSE,"O"}</definedName>
    <definedName name="wrn.BOP_MIDTERM._1" hidden="1">{"BOP_TAB",#N/A,FALSE,"N";"MIDTERM_TAB",#N/A,FALSE,"O"}</definedName>
    <definedName name="wrn.BOP_MIDTERM._2" hidden="1">{"BOP_TAB",#N/A,FALSE,"N";"MIDTERM_TAB",#N/A,FALSE,"O"}</definedName>
    <definedName name="wrn.CREDIT." hidden="1">{#N/A,#N/A,FALSE,"CREDIT"}</definedName>
    <definedName name="wrn.CREDIT._1" hidden="1">{#N/A,#N/A,FALSE,"CREDIT"}</definedName>
    <definedName name="wrn.CREDIT._2" hidden="1">{#N/A,#N/A,FALSE,"CREDIT"}</definedName>
    <definedName name="wrn.DEBTSVC." hidden="1">{#N/A,#N/A,FALSE,"DEBTSVC"}</definedName>
    <definedName name="wrn.DEBTSVC._1" hidden="1">{#N/A,#N/A,FALSE,"DEBTSVC"}</definedName>
    <definedName name="wrn.DEBTSVC._2" hidden="1">{#N/A,#N/A,FALSE,"DEBTSVC"}</definedName>
    <definedName name="wrn.DEPO." hidden="1">{#N/A,#N/A,FALSE,"DEPO"}</definedName>
    <definedName name="wrn.DEPO._1" hidden="1">{#N/A,#N/A,FALSE,"DEPO"}</definedName>
    <definedName name="wrn.DEPO._2" hidden="1">{#N/A,#N/A,FALSE,"DEPO"}</definedName>
    <definedName name="wrn.EXCISE." hidden="1">{#N/A,#N/A,FALSE,"EXCISE"}</definedName>
    <definedName name="wrn.EXCISE._1" hidden="1">{#N/A,#N/A,FALSE,"EXCISE"}</definedName>
    <definedName name="wrn.EXCISE._2" hidden="1">{#N/A,#N/A,FALSE,"EXCISE"}</definedName>
    <definedName name="wrn.EXRATE." hidden="1">{#N/A,#N/A,FALSE,"EXRATE"}</definedName>
    <definedName name="wrn.EXRATE._1" hidden="1">{#N/A,#N/A,FALSE,"EXRATE"}</definedName>
    <definedName name="wrn.EXRATE._2" hidden="1">{#N/A,#N/A,FALSE,"EXRATE"}</definedName>
    <definedName name="wrn.EXTDEBT." hidden="1">{#N/A,#N/A,FALSE,"EXTDEBT"}</definedName>
    <definedName name="wrn.EXTDEBT._1" hidden="1">{#N/A,#N/A,FALSE,"EXTDEBT"}</definedName>
    <definedName name="wrn.EXTDEBT._2" hidden="1">{#N/A,#N/A,FALSE,"EXTDEBT"}</definedName>
    <definedName name="wrn.EXTRABUDGT." hidden="1">{#N/A,#N/A,FALSE,"EXTRABUDGT"}</definedName>
    <definedName name="wrn.EXTRABUDGT._1" hidden="1">{#N/A,#N/A,FALSE,"EXTRABUDGT"}</definedName>
    <definedName name="wrn.EXTRABUDGT._2" hidden="1">{#N/A,#N/A,FALSE,"EXTRABUDGT"}</definedName>
    <definedName name="wrn.EXTRABUDGT2." hidden="1">{#N/A,#N/A,FALSE,"EXTRABUDGT2"}</definedName>
    <definedName name="wrn.EXTRABUDGT2._1" hidden="1">{#N/A,#N/A,FALSE,"EXTRABUDGT2"}</definedName>
    <definedName name="wrn.EXTRABUDGT2._2" hidden="1">{#N/A,#N/A,FALSE,"EXTRABUDGT2"}</definedName>
    <definedName name="wrn.GDP." hidden="1">{#N/A,#N/A,FALSE,"GDP_ORIGIN";#N/A,#N/A,FALSE,"EMP_POP"}</definedName>
    <definedName name="wrn.GDP._1" hidden="1">{#N/A,#N/A,FALSE,"GDP_ORIGIN";#N/A,#N/A,FALSE,"EMP_POP"}</definedName>
    <definedName name="wrn.GDP._2" hidden="1">{#N/A,#N/A,FALSE,"GDP_ORIGIN";#N/A,#N/A,FALSE,"EMP_POP"}</definedName>
    <definedName name="wrn.GGOVT." hidden="1">{#N/A,#N/A,FALSE,"GGOVT"}</definedName>
    <definedName name="wrn.GGOVT._1" hidden="1">{#N/A,#N/A,FALSE,"GGOVT"}</definedName>
    <definedName name="wrn.GGOVT._2" hidden="1">{#N/A,#N/A,FALSE,"GGOVT"}</definedName>
    <definedName name="wrn.GGOVT2." hidden="1">{#N/A,#N/A,FALSE,"GGOVT2"}</definedName>
    <definedName name="wrn.GGOVT2._1" hidden="1">{#N/A,#N/A,FALSE,"GGOVT2"}</definedName>
    <definedName name="wrn.GGOVT2._2" hidden="1">{#N/A,#N/A,FALSE,"GGOVT2"}</definedName>
    <definedName name="wrn.GGOVTPC." hidden="1">{#N/A,#N/A,FALSE,"GGOVT%"}</definedName>
    <definedName name="wrn.GGOVTPC._1" hidden="1">{#N/A,#N/A,FALSE,"GGOVT%"}</definedName>
    <definedName name="wrn.GGOVTPC._2" hidden="1">{#N/A,#N/A,FALSE,"GGOVT%"}</definedName>
    <definedName name="wrn.INCOMETX." hidden="1">{#N/A,#N/A,FALSE,"INCOMETX"}</definedName>
    <definedName name="wrn.INCOMETX._1" hidden="1">{#N/A,#N/A,FALSE,"INCOMETX"}</definedName>
    <definedName name="wrn.INCOMETX._2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and._.output._.tables._1" hidden="1">{#N/A,#N/A,FALSE,"SimInp1";#N/A,#N/A,FALSE,"SimInp2";#N/A,#N/A,FALSE,"SimOut1";#N/A,#N/A,FALSE,"SimOut2";#N/A,#N/A,FALSE,"SimOut3";#N/A,#N/A,FALSE,"SimOut4";#N/A,#N/A,FALSE,"SimOut5"}</definedName>
    <definedName name="wrn.Input._.and._.output._.tables._2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INTERST._1" hidden="1">{#N/A,#N/A,FALSE,"INTERST"}</definedName>
    <definedName name="wrn.INTERST._2" hidden="1">{#N/A,#N/A,FALSE,"INTERST"}</definedName>
    <definedName name="wrn.INTERVENTION." hidden="1">{"TAB_MONAVGi",#N/A,FALSE,"SUMMARY";"TAB_EOPi",#N/A,FALSE,"SUMMARY";"TAB_QAi",#N/A,FALSE,"SUMMARY"}</definedName>
    <definedName name="wrn.MAIN." hidden="1">{#N/A,#N/A,FALSE,"CB";#N/A,#N/A,FALSE,"CMB";#N/A,#N/A,FALSE,"BSYS";#N/A,#N/A,FALSE,"NBFI";#N/A,#N/A,FALSE,"FSYS"}</definedName>
    <definedName name="wrn.MAIN._1" hidden="1">{#N/A,#N/A,FALSE,"CB";#N/A,#N/A,FALSE,"CMB";#N/A,#N/A,FALSE,"BSYS";#N/A,#N/A,FALSE,"NBFI";#N/A,#N/A,FALSE,"FSYS"}</definedName>
    <definedName name="wrn.MAIN._2" hidden="1">{#N/A,#N/A,FALSE,"CB";#N/A,#N/A,FALSE,"CMB";#N/A,#N/A,FALSE,"BSYS";#N/A,#N/A,FALSE,"NBFI";#N/A,#N/A,FALSE,"FSYS"}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hidden="1">{#N/A,#N/A,FALSE,"CB";#N/A,#N/A,FALSE,"CMB";#N/A,#N/A,FALSE,"NBFI"}</definedName>
    <definedName name="wrn.MIT._1" hidden="1">{#N/A,#N/A,FALSE,"CB";#N/A,#N/A,FALSE,"CMB";#N/A,#N/A,FALSE,"NBFI"}</definedName>
    <definedName name="wrn.MIT._2" hidden="1">{#N/A,#N/A,FALSE,"CB";#N/A,#N/A,FALSE,"CMB";#N/A,#N/A,FALSE,"NBFI"}</definedName>
    <definedName name="wrn.MONA." hidden="1">{"MONA",#N/A,FALSE,"S"}</definedName>
    <definedName name="wrn.MONA._1" hidden="1">{"MONA",#N/A,FALSE,"S"}</definedName>
    <definedName name="wrn.MONA._2" hidden="1">{"MONA",#N/A,FALSE,"S"}</definedName>
    <definedName name="wrn.MS." hidden="1">{#N/A,#N/A,FALSE,"MS"}</definedName>
    <definedName name="wrn.MS._1" hidden="1">{#N/A,#N/A,FALSE,"MS"}</definedName>
    <definedName name="wrn.MS._2" hidden="1">{#N/A,#N/A,FALSE,"MS"}</definedName>
    <definedName name="wrn.NBG." hidden="1">{#N/A,#N/A,FALSE,"NBG"}</definedName>
    <definedName name="wrn.NBG._1" hidden="1">{#N/A,#N/A,FALSE,"NBG"}</definedName>
    <definedName name="wrn.NBG._2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Output._.tables._1" hidden="1">{#N/A,#N/A,FALSE,"I";#N/A,#N/A,FALSE,"J";#N/A,#N/A,FALSE,"K";#N/A,#N/A,FALSE,"L";#N/A,#N/A,FALSE,"M";#N/A,#N/A,FALSE,"N";#N/A,#N/A,FALSE,"O"}</definedName>
    <definedName name="wrn.Output._.tables._2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CPI._1" hidden="1">{#N/A,#N/A,FALSE,"PCPI"}</definedName>
    <definedName name="wrn.PCPI._2" hidden="1">{#N/A,#N/A,FALSE,"PCPI"}</definedName>
    <definedName name="wrn.PENSION." hidden="1">{#N/A,#N/A,FALSE,"PENSION"}</definedName>
    <definedName name="wrn.PENSION._1" hidden="1">{#N/A,#N/A,FALSE,"PENSION"}</definedName>
    <definedName name="wrn.PENSION._2" hidden="1">{#N/A,#N/A,FALSE,"PENSION"}</definedName>
    <definedName name="wrn.Program." hidden="1">{"Tab1",#N/A,FALSE,"P";"Tab2",#N/A,FALSE,"P"}</definedName>
    <definedName name="wrn.PRUDENT." hidden="1">{#N/A,#N/A,FALSE,"PRUDENT"}</definedName>
    <definedName name="wrn.PRUDENT._1" hidden="1">{#N/A,#N/A,FALSE,"PRUDENT"}</definedName>
    <definedName name="wrn.PRUDENT._2" hidden="1">{#N/A,#N/A,FALSE,"PRUDENT"}</definedName>
    <definedName name="wrn.PUBLEXP." hidden="1">{#N/A,#N/A,FALSE,"PUBLEXP"}</definedName>
    <definedName name="wrn.PUBLEXP._1" hidden="1">{#N/A,#N/A,FALSE,"PUBLEXP"}</definedName>
    <definedName name="wrn.PUBLEXP._2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REVSHARE._1" hidden="1">{#N/A,#N/A,FALSE,"REVSHARE"}</definedName>
    <definedName name="wrn.REVSHARE._2" hidden="1">{#N/A,#N/A,FALSE,"REVSHARE"}</definedName>
    <definedName name="wrn.Riqfin." hidden="1">{"Riqfin97",#N/A,FALSE,"Tran";"Riqfinpro",#N/A,FALSE,"Tran"}</definedName>
    <definedName name="wrn.Staff._.Report._.Tables." hidden="1">{#N/A,#N/A,FALSE,"SRFSYS";#N/A,#N/A,FALSE,"SRBSYS"}</definedName>
    <definedName name="wrn.Staff._.Report._.Tables._1" hidden="1">{#N/A,#N/A,FALSE,"SRFSYS";#N/A,#N/A,FALSE,"SRBSYS"}</definedName>
    <definedName name="wrn.Staff._.Report._.Tables._2" hidden="1">{#N/A,#N/A,FALSE,"SRFSYS";#N/A,#N/A,FALSE,"SRBSYS"}</definedName>
    <definedName name="wrn.STATE." hidden="1">{#N/A,#N/A,FALSE,"STATE"}</definedName>
    <definedName name="wrn.STATE._1" hidden="1">{#N/A,#N/A,FALSE,"STATE"}</definedName>
    <definedName name="wrn.STATE._2" hidden="1">{#N/A,#N/A,FALSE,"STATE"}</definedName>
    <definedName name="wrn.SUMMARY." hidden="1">{"TAB_MONAVG",#N/A,FALSE,"SUMMARY";"TAB_EOP",#N/A,FALSE,"SUMMARY";"TAB_QA",#N/A,FALSE,"SUMMARY"}</definedName>
    <definedName name="wrn.TAXARREARS." hidden="1">{#N/A,#N/A,FALSE,"TAXARREARS"}</definedName>
    <definedName name="wrn.TAXARREARS._1" hidden="1">{#N/A,#N/A,FALSE,"TAXARREARS"}</definedName>
    <definedName name="wrn.TAXARREARS._2" hidden="1">{#N/A,#N/A,FALSE,"TAXARREARS"}</definedName>
    <definedName name="wrn.TAXPAYRS." hidden="1">{#N/A,#N/A,FALSE,"TAXPAYRS"}</definedName>
    <definedName name="wrn.TAXPAYRS._1" hidden="1">{#N/A,#N/A,FALSE,"TAXPAYRS"}</definedName>
    <definedName name="wrn.TAXPAYRS._2" hidden="1">{#N/A,#N/A,FALSE,"TAXPAYRS"}</definedName>
    <definedName name="wrn.TILL697." hidden="1">{"M91TO697",#N/A,FALSE,"MDA"}</definedName>
    <definedName name="wrn.TILL697._1" hidden="1">{"M91TO697",#N/A,FALSE,"MDA"}</definedName>
    <definedName name="wrn.TILL697._2" hidden="1">{"M91TO697",#N/A,FALSE,"MDA"}</definedName>
    <definedName name="wrn.TRADE." hidden="1">{#N/A,#N/A,FALSE,"TRADE"}</definedName>
    <definedName name="wrn.TRADE._1" hidden="1">{#N/A,#N/A,FALSE,"TRADE"}</definedName>
    <definedName name="wrn.TRADE._2" hidden="1">{#N/A,#N/A,FALSE,"TRADE"}</definedName>
    <definedName name="wrn.TRANSPORT." hidden="1">{#N/A,#N/A,FALSE,"TRANPORT"}</definedName>
    <definedName name="wrn.TRANSPORT._1" hidden="1">{#N/A,#N/A,FALSE,"TRANPORT"}</definedName>
    <definedName name="wrn.TRANSPORT._2" hidden="1">{#N/A,#N/A,FALSE,"TRANPORT"}</definedName>
    <definedName name="wrn.UNEMPL." hidden="1">{#N/A,#N/A,FALSE,"EMP_POP";#N/A,#N/A,FALSE,"UNEMPL"}</definedName>
    <definedName name="wrn.UNEMPL._1" hidden="1">{#N/A,#N/A,FALSE,"EMP_POP";#N/A,#N/A,FALSE,"UNEMPL"}</definedName>
    <definedName name="wrn.UNEMPL._2" hidden="1">{#N/A,#N/A,FALSE,"EMP_POP";#N/A,#N/A,FALSE,"UNEMPL"}</definedName>
    <definedName name="wrn.WAGES." hidden="1">{#N/A,#N/A,FALSE,"WAGES"}</definedName>
    <definedName name="wrn.WAGES._1" hidden="1">{#N/A,#N/A,FALSE,"WAGES"}</definedName>
    <definedName name="wrn.WAGES._2" hidden="1">{#N/A,#N/A,FALSE,"WAGES"}</definedName>
    <definedName name="wrn.WEO." hidden="1">{"WEO",#N/A,FALSE,"T"}</definedName>
    <definedName name="wrn.WEO._1" hidden="1">{"WEO",#N/A,FALSE,"T"}</definedName>
    <definedName name="wrn.WEO._2" hidden="1">{"WEO",#N/A,FALSE,"T"}</definedName>
    <definedName name="wrn.weo2" hidden="1">{"WEO",#N/A,FALSE,"T"}</definedName>
    <definedName name="wrntil697" hidden="1">{"M91TO697",#N/A,FALSE,"MDA"}</definedName>
    <definedName name="ww" localSheetId="0" hidden="1">[9]M!#REF!</definedName>
    <definedName name="ww" hidden="1">[9]M!#REF!</definedName>
    <definedName name="www" hidden="1">{"Riqfin97",#N/A,FALSE,"Tran";"Riqfinpro",#N/A,FALSE,"Tran"}</definedName>
    <definedName name="xx" hidden="1">{"Riqfin97",#N/A,FALSE,"Tran";"Riqfinpro",#N/A,FALSE,"Tran"}</definedName>
    <definedName name="xxx" hidden="1">{#N/A,#N/A,FALSE,"CB";#N/A,#N/A,FALSE,"CMB";#N/A,#N/A,FALSE,"NBFI"}</definedName>
    <definedName name="xxx_1" hidden="1">{#N/A,#N/A,FALSE,"CB";#N/A,#N/A,FALSE,"CMB";#N/A,#N/A,FALSE,"NBFI"}</definedName>
    <definedName name="xxx_2" hidden="1">{#N/A,#N/A,FALSE,"CB";#N/A,#N/A,FALSE,"CMB";#N/A,#N/A,FALSE,"NBFI"}</definedName>
    <definedName name="xxxx" hidden="1">{"Riqfin97",#N/A,FALSE,"Tran";"Riqfinpro",#N/A,FALSE,"Tran"}</definedName>
    <definedName name="yy" hidden="1">{"Tab1",#N/A,FALSE,"P";"Tab2",#N/A,FALSE,"P"}</definedName>
    <definedName name="yyy" hidden="1">{#N/A,#N/A,FALSE,"MS"}</definedName>
    <definedName name="yyyy" hidden="1">{"Riqfin97",#N/A,FALSE,"Tran";"Riqfinpro",#N/A,FALSE,"Tran"}</definedName>
    <definedName name="Z_95224721_0485_11D4_BFD1_00508B5F4DA4_.wvu.Cols" localSheetId="0" hidden="1">#REF!</definedName>
    <definedName name="Z_95224721_0485_11D4_BFD1_00508B5F4DA4_.wvu.Cols" hidden="1">#REF!</definedName>
    <definedName name="zz" hidden="1">{"Tab1",#N/A,FALSE,"P";"Tab2",#N/A,FALSE,"P"}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0" i="1" l="1"/>
  <c r="S70" i="1"/>
  <c r="S71" i="1"/>
  <c r="F42" i="1"/>
  <c r="M39" i="1" l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Z55" i="1" s="1"/>
  <c r="AA39" i="1"/>
  <c r="AA55" i="1" s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Z54" i="1" s="1"/>
  <c r="AA38" i="1"/>
  <c r="AA54" i="1" s="1"/>
  <c r="Z52" i="1"/>
  <c r="AA52" i="1"/>
  <c r="D40" i="1"/>
  <c r="D56" i="1" s="1"/>
  <c r="E40" i="1"/>
  <c r="E56" i="1" s="1"/>
  <c r="F40" i="1"/>
  <c r="F56" i="1" s="1"/>
  <c r="G40" i="1"/>
  <c r="G56" i="1" s="1"/>
  <c r="H40" i="1"/>
  <c r="H56" i="1" s="1"/>
  <c r="I40" i="1"/>
  <c r="I56" i="1" s="1"/>
  <c r="J40" i="1"/>
  <c r="J56" i="1" s="1"/>
  <c r="K40" i="1"/>
  <c r="K56" i="1" s="1"/>
  <c r="L40" i="1"/>
  <c r="L56" i="1" s="1"/>
  <c r="M40" i="1"/>
  <c r="M56" i="1" s="1"/>
  <c r="N40" i="1"/>
  <c r="N56" i="1" s="1"/>
  <c r="O40" i="1"/>
  <c r="O56" i="1" s="1"/>
  <c r="P40" i="1"/>
  <c r="P56" i="1" s="1"/>
  <c r="Q40" i="1"/>
  <c r="Q56" i="1" s="1"/>
  <c r="R40" i="1"/>
  <c r="R56" i="1" s="1"/>
  <c r="S40" i="1"/>
  <c r="S56" i="1" s="1"/>
  <c r="T40" i="1"/>
  <c r="T56" i="1" s="1"/>
  <c r="U40" i="1"/>
  <c r="U56" i="1" s="1"/>
  <c r="V40" i="1"/>
  <c r="V56" i="1" s="1"/>
  <c r="W40" i="1"/>
  <c r="W56" i="1" s="1"/>
  <c r="X40" i="1"/>
  <c r="X56" i="1" s="1"/>
  <c r="Y40" i="1"/>
  <c r="Y56" i="1" s="1"/>
  <c r="Z40" i="1"/>
  <c r="Z56" i="1" s="1"/>
  <c r="AA40" i="1"/>
  <c r="AA56" i="1" s="1"/>
  <c r="C40" i="1"/>
  <c r="C56" i="1" s="1"/>
  <c r="C55" i="1"/>
  <c r="C54" i="1"/>
  <c r="D37" i="1"/>
  <c r="D53" i="1" s="1"/>
  <c r="E37" i="1"/>
  <c r="E53" i="1" s="1"/>
  <c r="F37" i="1"/>
  <c r="F53" i="1" s="1"/>
  <c r="G37" i="1"/>
  <c r="G53" i="1" s="1"/>
  <c r="H37" i="1"/>
  <c r="H53" i="1" s="1"/>
  <c r="I37" i="1"/>
  <c r="I53" i="1" s="1"/>
  <c r="J37" i="1"/>
  <c r="J53" i="1" s="1"/>
  <c r="K37" i="1"/>
  <c r="K53" i="1" s="1"/>
  <c r="L37" i="1"/>
  <c r="L53" i="1" s="1"/>
  <c r="M37" i="1"/>
  <c r="M53" i="1" s="1"/>
  <c r="N37" i="1"/>
  <c r="N53" i="1" s="1"/>
  <c r="O37" i="1"/>
  <c r="O53" i="1" s="1"/>
  <c r="P37" i="1"/>
  <c r="P53" i="1" s="1"/>
  <c r="Q37" i="1"/>
  <c r="Q53" i="1" s="1"/>
  <c r="R37" i="1"/>
  <c r="R53" i="1" s="1"/>
  <c r="S37" i="1"/>
  <c r="S53" i="1" s="1"/>
  <c r="T37" i="1"/>
  <c r="T53" i="1" s="1"/>
  <c r="U37" i="1"/>
  <c r="U53" i="1" s="1"/>
  <c r="V37" i="1"/>
  <c r="V53" i="1" s="1"/>
  <c r="W37" i="1"/>
  <c r="W53" i="1" s="1"/>
  <c r="X37" i="1"/>
  <c r="X53" i="1" s="1"/>
  <c r="Y37" i="1"/>
  <c r="Y53" i="1" s="1"/>
  <c r="Z37" i="1"/>
  <c r="Z53" i="1" s="1"/>
  <c r="AA37" i="1"/>
  <c r="AA53" i="1" s="1"/>
  <c r="C37" i="1"/>
  <c r="C53" i="1" s="1"/>
  <c r="C36" i="1"/>
  <c r="C52" i="1" s="1"/>
  <c r="E42" i="1" a="1"/>
  <c r="D42" i="1" a="1"/>
  <c r="C42" i="1" a="1"/>
  <c r="C42" i="1" l="1"/>
  <c r="D42" i="1"/>
  <c r="E42" i="1"/>
  <c r="Z59" i="1"/>
  <c r="AA59" i="1"/>
  <c r="AA58" i="1"/>
  <c r="C59" i="1"/>
  <c r="Z58" i="1"/>
  <c r="K8" i="2" l="1"/>
  <c r="J8" i="2" s="1"/>
  <c r="I8" i="2" s="1"/>
  <c r="H8" i="2" s="1"/>
  <c r="G8" i="2" s="1"/>
  <c r="F8" i="2" s="1"/>
  <c r="E8" i="2" s="1"/>
  <c r="D8" i="2" s="1"/>
  <c r="C8" i="2" s="1"/>
  <c r="B8" i="2" s="1"/>
  <c r="T6" i="2"/>
  <c r="S6" i="2" s="1"/>
  <c r="R6" i="2" s="1"/>
  <c r="Q6" i="2" s="1"/>
  <c r="P6" i="2" s="1"/>
  <c r="O6" i="2" s="1"/>
  <c r="N6" i="2" s="1"/>
  <c r="M6" i="2" s="1"/>
  <c r="L6" i="2" s="1"/>
  <c r="K6" i="2" s="1"/>
  <c r="J6" i="2" s="1"/>
  <c r="I6" i="2" s="1"/>
  <c r="H6" i="2" s="1"/>
  <c r="G6" i="2" s="1"/>
  <c r="F6" i="2" s="1"/>
  <c r="E6" i="2" s="1"/>
  <c r="D6" i="2" s="1"/>
  <c r="C6" i="2" s="1"/>
  <c r="B6" i="2" s="1"/>
  <c r="J5" i="2"/>
  <c r="I5" i="2" s="1"/>
  <c r="H5" i="2" s="1"/>
  <c r="G5" i="2" s="1"/>
  <c r="F5" i="2" s="1"/>
  <c r="E5" i="2" s="1"/>
  <c r="D5" i="2" s="1"/>
  <c r="C5" i="2" s="1"/>
  <c r="B5" i="2" s="1"/>
  <c r="D35" i="1"/>
  <c r="D51" i="1" s="1"/>
  <c r="E35" i="1"/>
  <c r="E51" i="1" s="1"/>
  <c r="F35" i="1"/>
  <c r="F51" i="1" s="1"/>
  <c r="G35" i="1"/>
  <c r="G51" i="1" s="1"/>
  <c r="H35" i="1"/>
  <c r="H51" i="1" s="1"/>
  <c r="I35" i="1"/>
  <c r="I51" i="1" s="1"/>
  <c r="J35" i="1"/>
  <c r="J51" i="1" s="1"/>
  <c r="K35" i="1"/>
  <c r="K51" i="1" s="1"/>
  <c r="L35" i="1"/>
  <c r="L51" i="1" s="1"/>
  <c r="M35" i="1"/>
  <c r="M51" i="1" s="1"/>
  <c r="N35" i="1"/>
  <c r="N51" i="1" s="1"/>
  <c r="O35" i="1"/>
  <c r="O51" i="1" s="1"/>
  <c r="P35" i="1"/>
  <c r="P51" i="1" s="1"/>
  <c r="Q35" i="1"/>
  <c r="Q51" i="1" s="1"/>
  <c r="R35" i="1"/>
  <c r="R51" i="1" s="1"/>
  <c r="S35" i="1"/>
  <c r="S51" i="1" s="1"/>
  <c r="T35" i="1"/>
  <c r="T51" i="1" s="1"/>
  <c r="U35" i="1"/>
  <c r="U51" i="1" s="1"/>
  <c r="V35" i="1"/>
  <c r="V51" i="1" s="1"/>
  <c r="W35" i="1"/>
  <c r="W51" i="1" s="1"/>
  <c r="X35" i="1"/>
  <c r="X51" i="1" s="1"/>
  <c r="Y35" i="1"/>
  <c r="Y51" i="1" s="1"/>
  <c r="Z35" i="1"/>
  <c r="Z51" i="1" s="1"/>
  <c r="AA35" i="1"/>
  <c r="AA51" i="1" s="1"/>
  <c r="C35" i="1"/>
  <c r="C51" i="1" s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C34" i="1"/>
  <c r="C50" i="1" s="1"/>
  <c r="AA34" i="1" l="1"/>
  <c r="W75" i="1" l="1"/>
  <c r="R72" i="1" l="1"/>
  <c r="L55" i="1"/>
  <c r="K55" i="1"/>
  <c r="J55" i="1"/>
  <c r="I55" i="1"/>
  <c r="H55" i="1"/>
  <c r="G55" i="1"/>
  <c r="F55" i="1"/>
  <c r="E55" i="1"/>
  <c r="D55" i="1"/>
  <c r="L54" i="1"/>
  <c r="L59" i="1" s="1"/>
  <c r="K54" i="1"/>
  <c r="K59" i="1" s="1"/>
  <c r="J54" i="1"/>
  <c r="J59" i="1" s="1"/>
  <c r="I54" i="1"/>
  <c r="I59" i="1" s="1"/>
  <c r="H54" i="1"/>
  <c r="H59" i="1" s="1"/>
  <c r="G54" i="1"/>
  <c r="G59" i="1" s="1"/>
  <c r="F54" i="1"/>
  <c r="F59" i="1" s="1"/>
  <c r="E54" i="1"/>
  <c r="E59" i="1" s="1"/>
  <c r="D54" i="1"/>
  <c r="D59" i="1" s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Y54" i="1"/>
  <c r="Y59" i="1" s="1"/>
  <c r="X54" i="1"/>
  <c r="X59" i="1" s="1"/>
  <c r="W54" i="1"/>
  <c r="W59" i="1" s="1"/>
  <c r="V54" i="1"/>
  <c r="V59" i="1" s="1"/>
  <c r="U54" i="1"/>
  <c r="U59" i="1" s="1"/>
  <c r="T54" i="1"/>
  <c r="T59" i="1" s="1"/>
  <c r="S54" i="1"/>
  <c r="S59" i="1" s="1"/>
  <c r="R54" i="1"/>
  <c r="R59" i="1" s="1"/>
  <c r="Q54" i="1"/>
  <c r="Q59" i="1" s="1"/>
  <c r="P54" i="1"/>
  <c r="P59" i="1" s="1"/>
  <c r="O54" i="1"/>
  <c r="O59" i="1" s="1"/>
  <c r="N54" i="1"/>
  <c r="N59" i="1" s="1"/>
  <c r="M54" i="1"/>
  <c r="M59" i="1" s="1"/>
  <c r="D36" i="1"/>
  <c r="D52" i="1" s="1"/>
  <c r="D58" i="1" s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S121" i="1"/>
  <c r="S120" i="1"/>
  <c r="S119" i="1"/>
  <c r="S118" i="1"/>
  <c r="S117" i="1"/>
  <c r="I117" i="1"/>
  <c r="I116" i="1"/>
  <c r="Y74" i="1"/>
  <c r="X74" i="1"/>
  <c r="W74" i="1" s="1"/>
  <c r="Y73" i="1"/>
  <c r="X73" i="1"/>
  <c r="W73" i="1" s="1"/>
  <c r="Y72" i="1"/>
  <c r="X72" i="1"/>
  <c r="W72" i="1" s="1"/>
  <c r="Y71" i="1"/>
  <c r="X71" i="1"/>
  <c r="W71" i="1" s="1"/>
  <c r="R71" i="1"/>
  <c r="X70" i="1"/>
  <c r="W70" i="1" s="1"/>
  <c r="R70" i="1"/>
  <c r="C58" i="1" l="1"/>
  <c r="E36" i="1" l="1"/>
  <c r="E52" i="1" s="1"/>
  <c r="E58" i="1" s="1"/>
  <c r="X42" i="1" a="1"/>
  <c r="M42" i="1" a="1"/>
  <c r="Q42" i="1" a="1"/>
  <c r="N42" i="1" a="1"/>
  <c r="R42" i="1" a="1"/>
  <c r="O42" i="1" a="1"/>
  <c r="AA42" i="1" a="1"/>
  <c r="G42" i="1" a="1"/>
  <c r="H42" i="1" a="1"/>
  <c r="S42" i="1" a="1"/>
  <c r="T42" i="1" a="1"/>
  <c r="I42" i="1" a="1"/>
  <c r="J42" i="1" a="1"/>
  <c r="V42" i="1" a="1"/>
  <c r="W42" i="1" a="1"/>
  <c r="P42" i="1" a="1"/>
  <c r="U42" i="1" a="1"/>
  <c r="K42" i="1" a="1"/>
  <c r="L42" i="1" a="1"/>
  <c r="Z42" i="1" a="1"/>
  <c r="Y42" i="1" a="1"/>
  <c r="D50" i="1" l="1"/>
  <c r="AA42" i="1"/>
  <c r="AA50" i="1" s="1"/>
  <c r="Z42" i="1"/>
  <c r="Z50" i="1" s="1"/>
  <c r="Y42" i="1"/>
  <c r="X42" i="1"/>
  <c r="X50" i="1" s="1"/>
  <c r="W42" i="1"/>
  <c r="W50" i="1" s="1"/>
  <c r="V42" i="1"/>
  <c r="V50" i="1" s="1"/>
  <c r="U42" i="1"/>
  <c r="U50" i="1" s="1"/>
  <c r="T42" i="1"/>
  <c r="T50" i="1" s="1"/>
  <c r="S42" i="1"/>
  <c r="S50" i="1" s="1"/>
  <c r="R42" i="1"/>
  <c r="R50" i="1" s="1"/>
  <c r="Q42" i="1"/>
  <c r="Q50" i="1" s="1"/>
  <c r="P42" i="1"/>
  <c r="P50" i="1" s="1"/>
  <c r="O42" i="1"/>
  <c r="O50" i="1" s="1"/>
  <c r="N42" i="1"/>
  <c r="N50" i="1" s="1"/>
  <c r="M42" i="1"/>
  <c r="M50" i="1" s="1"/>
  <c r="L42" i="1"/>
  <c r="L50" i="1" s="1"/>
  <c r="K42" i="1"/>
  <c r="K50" i="1" s="1"/>
  <c r="J42" i="1"/>
  <c r="J50" i="1" s="1"/>
  <c r="I42" i="1"/>
  <c r="I50" i="1" s="1"/>
  <c r="H42" i="1"/>
  <c r="H50" i="1" s="1"/>
  <c r="G42" i="1"/>
  <c r="G50" i="1" s="1"/>
  <c r="F50" i="1"/>
  <c r="E50" i="1"/>
  <c r="F36" i="1"/>
  <c r="F52" i="1" s="1"/>
  <c r="F58" i="1" s="1"/>
  <c r="Y50" i="1" l="1"/>
  <c r="G36" i="1"/>
  <c r="G52" i="1" s="1"/>
  <c r="G58" i="1" s="1"/>
  <c r="H36" i="1" l="1"/>
  <c r="H52" i="1" s="1"/>
  <c r="H58" i="1" s="1"/>
  <c r="I36" i="1" l="1"/>
  <c r="I52" i="1" s="1"/>
  <c r="I58" i="1" s="1"/>
  <c r="J36" i="1" l="1"/>
  <c r="J52" i="1" s="1"/>
  <c r="J58" i="1" s="1"/>
  <c r="K36" i="1" l="1"/>
  <c r="K52" i="1" s="1"/>
  <c r="K58" i="1" s="1"/>
  <c r="L36" i="1" l="1"/>
  <c r="L52" i="1" s="1"/>
  <c r="L58" i="1" s="1"/>
  <c r="M36" i="1" l="1"/>
  <c r="M52" i="1" s="1"/>
  <c r="M58" i="1" s="1"/>
  <c r="N36" i="1" l="1"/>
  <c r="N52" i="1" s="1"/>
  <c r="N58" i="1" s="1"/>
  <c r="O36" i="1" l="1"/>
  <c r="O52" i="1" s="1"/>
  <c r="O58" i="1" s="1"/>
  <c r="P36" i="1" l="1"/>
  <c r="P52" i="1" s="1"/>
  <c r="P58" i="1" s="1"/>
  <c r="Q36" i="1" l="1"/>
  <c r="Q52" i="1" s="1"/>
  <c r="Q58" i="1" s="1"/>
  <c r="R36" i="1" l="1"/>
  <c r="R52" i="1" s="1"/>
  <c r="R58" i="1" s="1"/>
  <c r="S36" i="1" l="1"/>
  <c r="S52" i="1" s="1"/>
  <c r="S58" i="1" s="1"/>
  <c r="T36" i="1" l="1"/>
  <c r="T52" i="1" s="1"/>
  <c r="T58" i="1" s="1"/>
  <c r="U36" i="1" l="1"/>
  <c r="U52" i="1" s="1"/>
  <c r="U58" i="1" s="1"/>
  <c r="V36" i="1" l="1"/>
  <c r="V52" i="1" s="1"/>
  <c r="V58" i="1" s="1"/>
  <c r="W36" i="1" l="1"/>
  <c r="W52" i="1" s="1"/>
  <c r="W58" i="1" s="1"/>
  <c r="X36" i="1" l="1"/>
  <c r="X52" i="1" s="1"/>
  <c r="X58" i="1" s="1"/>
  <c r="Y36" i="1"/>
  <c r="Y52" i="1" s="1"/>
  <c r="Y58" i="1" s="1"/>
</calcChain>
</file>

<file path=xl/sharedStrings.xml><?xml version="1.0" encoding="utf-8"?>
<sst xmlns="http://schemas.openxmlformats.org/spreadsheetml/2006/main" count="210" uniqueCount="149">
  <si>
    <t>Actual variables</t>
  </si>
  <si>
    <t>Variabile reale</t>
  </si>
  <si>
    <t>Foreign demand, index</t>
  </si>
  <si>
    <t>Cererea externă, indice</t>
  </si>
  <si>
    <t>REER, index (increase =appreciation)</t>
  </si>
  <si>
    <t>Logs</t>
  </si>
  <si>
    <t>Logaritm</t>
  </si>
  <si>
    <t>REER, index</t>
  </si>
  <si>
    <t>REER, indice</t>
  </si>
  <si>
    <t>Trends</t>
  </si>
  <si>
    <t>Tendințe</t>
  </si>
  <si>
    <t>Gaps</t>
  </si>
  <si>
    <t>Lacune</t>
  </si>
  <si>
    <t>Real exports gap</t>
  </si>
  <si>
    <t>Diferența reală a exporturilor</t>
  </si>
  <si>
    <t>Real imports gap</t>
  </si>
  <si>
    <t>Diferența importurilor reale</t>
  </si>
  <si>
    <t>Foreign demand</t>
  </si>
  <si>
    <t>Cererea externă</t>
  </si>
  <si>
    <t>REER (+ above equilibrium, appreciated)</t>
  </si>
  <si>
    <t>REER (+ deasupra echilibrului, apreciat)</t>
  </si>
  <si>
    <t>Real Private consumption</t>
  </si>
  <si>
    <t>Consum privat real</t>
  </si>
  <si>
    <t>Real Gvt Consumption</t>
  </si>
  <si>
    <t>Consumul real al guvernului</t>
  </si>
  <si>
    <t>Real investment</t>
  </si>
  <si>
    <t>Investiții reale</t>
  </si>
  <si>
    <t>Forecast</t>
  </si>
  <si>
    <t>Prognoză</t>
  </si>
  <si>
    <t>Est. real exports gap</t>
  </si>
  <si>
    <t>Diferența reală est. a exporturilor</t>
  </si>
  <si>
    <t>Est. real imports gap</t>
  </si>
  <si>
    <t>Diferența importurilor reale est.</t>
  </si>
  <si>
    <t>Export model</t>
  </si>
  <si>
    <t>Import model</t>
  </si>
  <si>
    <t>Calibrated</t>
  </si>
  <si>
    <t>Estimated</t>
  </si>
  <si>
    <t>Prob.</t>
  </si>
  <si>
    <t>c1</t>
  </si>
  <si>
    <t>Foreign demand gap</t>
  </si>
  <si>
    <t>Real Private consumption gap</t>
  </si>
  <si>
    <t>c2</t>
  </si>
  <si>
    <t>REER gap</t>
  </si>
  <si>
    <t>Real Gvt Consumption gap</t>
  </si>
  <si>
    <t>Adj. R2</t>
  </si>
  <si>
    <t>c3</t>
  </si>
  <si>
    <t>Real investment gap</t>
  </si>
  <si>
    <t>c4</t>
  </si>
  <si>
    <t>c5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</si>
  <si>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</si>
  <si>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</si>
  <si>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</si>
  <si>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</si>
  <si>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</si>
  <si>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</si>
  <si>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</si>
  <si>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</si>
  <si>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</si>
  <si>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</si>
  <si>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</si>
  <si>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</si>
  <si>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</si>
  <si>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</si>
  <si>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</si>
  <si>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</si>
  <si>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</si>
  <si>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</si>
  <si>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</si>
  <si>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</si>
  <si>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</si>
  <si>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</si>
  <si>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</si>
  <si>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</si>
  <si>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Copy-paste from the table-Gaps tab above</t>
  </si>
  <si>
    <t>X gap</t>
  </si>
  <si>
    <t>Yf gap</t>
  </si>
  <si>
    <t>Im Gap</t>
  </si>
  <si>
    <t>C gap</t>
  </si>
  <si>
    <t>G gap</t>
  </si>
  <si>
    <t>I gap</t>
  </si>
  <si>
    <t>Real exports, mn MDL</t>
  </si>
  <si>
    <t>Exporturi reale, milioane MDL</t>
  </si>
  <si>
    <t>Real Imports, mn MDL</t>
  </si>
  <si>
    <t>Importuri reale, milioane MDL</t>
  </si>
  <si>
    <t>Real Private consumption, mn MDL</t>
  </si>
  <si>
    <t>Consum privat real, milioane MDL</t>
  </si>
  <si>
    <t>Real Gvt Consumption, mn MDL</t>
  </si>
  <si>
    <t>Real investment, mn MDL</t>
  </si>
  <si>
    <t>Consumul real al guvernului, milioane MDL</t>
  </si>
  <si>
    <t>Investiții reale, milioane MDL</t>
  </si>
  <si>
    <t>Real exports, mn USD</t>
  </si>
  <si>
    <t>Rata de schimb</t>
  </si>
  <si>
    <t>Real Imports, mn USD</t>
  </si>
  <si>
    <t>Exchange rate</t>
  </si>
  <si>
    <t>Romania GDP</t>
  </si>
  <si>
    <t>Ukraine GDP</t>
  </si>
  <si>
    <t>Germany GDP</t>
  </si>
  <si>
    <t>Russia GDP</t>
  </si>
  <si>
    <t>Belarus GDP</t>
  </si>
  <si>
    <t>Italy GDP</t>
  </si>
  <si>
    <t>Czech GDP</t>
  </si>
  <si>
    <t>Turkyie GDP</t>
  </si>
  <si>
    <t>Poland GDP</t>
  </si>
  <si>
    <t>Bulgaria GDP</t>
  </si>
  <si>
    <t>US GDP</t>
  </si>
  <si>
    <t>China GDP</t>
  </si>
  <si>
    <t>Revenue: Total</t>
  </si>
  <si>
    <t>Revenue: PIT</t>
  </si>
  <si>
    <t>Revenue: CIT</t>
  </si>
  <si>
    <t>Revenue: domestic VAT</t>
  </si>
  <si>
    <t>Revenue: VAT on imports</t>
  </si>
  <si>
    <t>Revenue: Excises</t>
  </si>
  <si>
    <t>Revenue: Grants</t>
  </si>
  <si>
    <t>Revenue: Non-Tax Revenue</t>
  </si>
  <si>
    <t>Revenue: Social Insurance Contributions</t>
  </si>
  <si>
    <t>Revenue: Taxes on International Trade</t>
  </si>
  <si>
    <t>Expenditure: Total</t>
  </si>
  <si>
    <t>Expenditure: Current</t>
  </si>
  <si>
    <t>Expenditure: Wages and Salaries</t>
  </si>
  <si>
    <t>Expenditure: Goods and Services</t>
  </si>
  <si>
    <t>Expenditure: Interest Payments</t>
  </si>
  <si>
    <t>Expenditure: Interest Payments: Domestic</t>
  </si>
  <si>
    <t>Expenditure: Interest Payments: External</t>
  </si>
  <si>
    <t>Expenditure: Social Benefits</t>
  </si>
  <si>
    <t>Consumer Price Index: Dec1993=100</t>
  </si>
  <si>
    <t>Exporturi reale, milioane USD</t>
  </si>
  <si>
    <t>Importuri reale, milioane USD</t>
  </si>
  <si>
    <t>Cerere externă, indice</t>
  </si>
  <si>
    <t>REER, indice (creștere =apreciere)</t>
  </si>
  <si>
    <t>Consum guvernamental real, milioane MDL</t>
  </si>
  <si>
    <t>Venituri: Total</t>
  </si>
  <si>
    <t>Venituri: PIT</t>
  </si>
  <si>
    <t>Venituri: CIT</t>
  </si>
  <si>
    <t>Venituri: TVA intern</t>
  </si>
  <si>
    <t>Venituri: TVA la import</t>
  </si>
  <si>
    <t>Venituri: Accize</t>
  </si>
  <si>
    <t>Venituri: Subvenții</t>
  </si>
  <si>
    <t>Venituri: Venituri nefiscale</t>
  </si>
  <si>
    <t>Venituri: Contribuții la asigurările sociale</t>
  </si>
  <si>
    <t>Venituri: Impozite pe comerțul internațional</t>
  </si>
  <si>
    <t>Cheltuieli: Total</t>
  </si>
  <si>
    <t>Cheltuieli: Curente</t>
  </si>
  <si>
    <t>Cheltuieli: Salarii și retribuții</t>
  </si>
  <si>
    <t>Cheltuieli: Bunuri și servicii</t>
  </si>
  <si>
    <t>Cheltuieli: Plăți de dobânzi</t>
  </si>
  <si>
    <t>Cheltuieli: Plata dobânzilor: Domestic</t>
  </si>
  <si>
    <t>Cheltuieli: Plata dobânzilor: Externe</t>
  </si>
  <si>
    <t>Cheltuieli: Prestații sociale</t>
  </si>
  <si>
    <t>Indicele prețurilor de consum: Dec1993=100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</si>
</sst>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"/>
    <numFmt numFmtId="165" formatCode="0.0"/>
    <numFmt numFmtId="166" formatCode="#,##0.0"/>
    <numFmt numFmtId="167" formatCode="0.00000"/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4" tint="-0.249977111117893"/>
      <name val="Times New Roman"/>
      <family val="1"/>
    </font>
    <font>
      <sz val="10"/>
      <color rgb="FF00B050"/>
      <name val="Times New Roman"/>
      <family val="1"/>
    </font>
    <font>
      <sz val="10"/>
      <color theme="6" tint="0.79998168889431442"/>
      <name val="Times New Roman"/>
      <family val="1"/>
    </font>
    <font>
      <i/>
      <sz val="10"/>
      <color theme="1"/>
      <name val="Times New Roman"/>
      <family val="1"/>
    </font>
    <font>
      <sz val="10"/>
      <color theme="5"/>
      <name val="Times New Roman"/>
      <family val="1"/>
    </font>
    <font>
      <b/>
      <sz val="10"/>
      <color theme="4" tint="-0.249977111117893"/>
      <name val="Times New Roman"/>
      <family val="1"/>
    </font>
    <font>
      <sz val="10"/>
      <color theme="0" tint="-0.499984740745262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color theme="9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9" borderId="5" xfId="0" applyFont="1" applyFill="1" applyBorder="1"/>
    <xf numFmtId="0" fontId="3" fillId="10" borderId="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2" fillId="9" borderId="5" xfId="0" applyFont="1" applyFill="1" applyBorder="1"/>
    <xf numFmtId="0" fontId="2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>
      <alignment horizontal="center" vertical="center"/>
    </xf>
    <xf numFmtId="2" fontId="3" fillId="11" borderId="2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center" vertical="center" wrapText="1"/>
    </xf>
    <xf numFmtId="2" fontId="5" fillId="1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wrapText="1"/>
    </xf>
    <xf numFmtId="2" fontId="4" fillId="10" borderId="1" xfId="0" applyNumberFormat="1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left" vertical="center" wrapText="1"/>
    </xf>
    <xf numFmtId="2" fontId="5" fillId="10" borderId="1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0" fontId="2" fillId="0" borderId="0" xfId="0" applyFont="1"/>
    <xf numFmtId="1" fontId="2" fillId="0" borderId="0" xfId="0" applyNumberFormat="1" applyFont="1"/>
    <xf numFmtId="1" fontId="2" fillId="5" borderId="0" xfId="0" applyNumberFormat="1" applyFont="1" applyFill="1"/>
    <xf numFmtId="1" fontId="5" fillId="6" borderId="0" xfId="0" applyNumberFormat="1" applyFont="1" applyFill="1"/>
    <xf numFmtId="164" fontId="2" fillId="0" borderId="0" xfId="0" applyNumberFormat="1" applyFont="1"/>
    <xf numFmtId="1" fontId="2" fillId="6" borderId="0" xfId="0" applyNumberFormat="1" applyFont="1" applyFill="1"/>
    <xf numFmtId="1" fontId="6" fillId="7" borderId="0" xfId="0" applyNumberFormat="1" applyFont="1" applyFill="1"/>
    <xf numFmtId="1" fontId="2" fillId="7" borderId="0" xfId="0" applyNumberFormat="1" applyFont="1" applyFill="1"/>
    <xf numFmtId="1" fontId="3" fillId="5" borderId="0" xfId="0" applyNumberFormat="1" applyFont="1" applyFill="1"/>
    <xf numFmtId="165" fontId="2" fillId="5" borderId="0" xfId="0" applyNumberFormat="1" applyFont="1" applyFill="1"/>
    <xf numFmtId="165" fontId="2" fillId="6" borderId="0" xfId="0" applyNumberFormat="1" applyFont="1" applyFill="1"/>
    <xf numFmtId="166" fontId="7" fillId="8" borderId="3" xfId="0" applyNumberFormat="1" applyFont="1" applyFill="1" applyBorder="1"/>
    <xf numFmtId="166" fontId="7" fillId="8" borderId="4" xfId="0" applyNumberFormat="1" applyFont="1" applyFill="1" applyBorder="1"/>
    <xf numFmtId="1" fontId="8" fillId="0" borderId="0" xfId="0" applyNumberFormat="1" applyFont="1"/>
    <xf numFmtId="165" fontId="2" fillId="2" borderId="0" xfId="0" applyNumberFormat="1" applyFont="1" applyFill="1"/>
    <xf numFmtId="0" fontId="2" fillId="4" borderId="0" xfId="0" applyFont="1" applyFill="1"/>
    <xf numFmtId="0" fontId="9" fillId="0" borderId="0" xfId="0" applyFont="1"/>
    <xf numFmtId="0" fontId="3" fillId="9" borderId="2" xfId="0" applyFont="1" applyFill="1" applyBorder="1"/>
    <xf numFmtId="1" fontId="2" fillId="9" borderId="0" xfId="0" applyNumberFormat="1" applyFont="1" applyFill="1"/>
    <xf numFmtId="0" fontId="2" fillId="9" borderId="2" xfId="0" applyFont="1" applyFill="1" applyBorder="1"/>
    <xf numFmtId="0" fontId="3" fillId="9" borderId="8" xfId="0" applyFont="1" applyFill="1" applyBorder="1"/>
    <xf numFmtId="0" fontId="3" fillId="10" borderId="0" xfId="0" applyFont="1" applyFill="1"/>
    <xf numFmtId="0" fontId="3" fillId="11" borderId="0" xfId="0" applyFont="1" applyFill="1"/>
    <xf numFmtId="1" fontId="2" fillId="0" borderId="0" xfId="1" applyNumberFormat="1" applyFont="1"/>
    <xf numFmtId="0" fontId="2" fillId="9" borderId="0" xfId="0" applyFont="1" applyFill="1"/>
    <xf numFmtId="0" fontId="9" fillId="9" borderId="0" xfId="0" applyFont="1" applyFill="1"/>
    <xf numFmtId="0" fontId="5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0" fontId="10" fillId="0" borderId="0" xfId="0" applyFont="1" applyAlignment="1">
      <alignment horizontal="centerContinuous"/>
    </xf>
    <xf numFmtId="167" fontId="2" fillId="0" borderId="0" xfId="0" applyNumberFormat="1" applyFont="1"/>
    <xf numFmtId="2" fontId="2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165" fontId="2" fillId="0" borderId="0" xfId="0" applyNumberFormat="1" applyFont="1"/>
    <xf numFmtId="2" fontId="7" fillId="0" borderId="0" xfId="0" applyNumberFormat="1" applyFont="1"/>
    <xf numFmtId="165" fontId="7" fillId="0" borderId="0" xfId="0" applyNumberFormat="1" applyFont="1"/>
    <xf numFmtId="0" fontId="10" fillId="0" borderId="12" xfId="0" applyFont="1" applyBorder="1" applyAlignment="1">
      <alignment horizontal="centerContinuous"/>
    </xf>
    <xf numFmtId="0" fontId="2" fillId="0" borderId="13" xfId="0" applyFont="1" applyBorder="1"/>
    <xf numFmtId="0" fontId="10" fillId="0" borderId="12" xfId="0" applyFont="1" applyBorder="1" applyAlignment="1">
      <alignment horizontal="center"/>
    </xf>
    <xf numFmtId="2" fontId="3" fillId="0" borderId="0" xfId="0" applyNumberFormat="1" applyFont="1"/>
    <xf numFmtId="1" fontId="7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11" fontId="2" fillId="0" borderId="0" xfId="0" applyNumberFormat="1" applyFont="1"/>
    <xf numFmtId="10" fontId="2" fillId="0" borderId="0" xfId="1" applyNumberFormat="1" applyFont="1"/>
    <xf numFmtId="165" fontId="2" fillId="0" borderId="0" xfId="0" applyNumberFormat="1" applyFont="1" applyAlignment="1">
      <alignment wrapText="1"/>
    </xf>
    <xf numFmtId="168" fontId="2" fillId="0" borderId="0" xfId="1" applyNumberFormat="1" applyFont="1"/>
    <xf numFmtId="1" fontId="2" fillId="0" borderId="0" xfId="0" applyNumberFormat="1" applyFont="1" applyAlignment="1">
      <alignment horizontal="center" wrapText="1"/>
    </xf>
    <xf numFmtId="1" fontId="11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12" fillId="0" borderId="0" xfId="0" applyNumberFormat="1" applyFont="1"/>
    <xf numFmtId="1" fontId="2" fillId="0" borderId="0" xfId="1" applyNumberFormat="1" applyFont="1" applyFill="1" applyBorder="1"/>
    <xf numFmtId="1" fontId="5" fillId="0" borderId="0" xfId="0" applyNumberFormat="1" applyFont="1"/>
    <xf numFmtId="1" fontId="3" fillId="0" borderId="0" xfId="0" applyNumberFormat="1" applyFont="1"/>
    <xf numFmtId="168" fontId="13" fillId="0" borderId="0" xfId="1" applyNumberFormat="1" applyFont="1" applyFill="1" applyBorder="1"/>
    <xf numFmtId="0" fontId="10" fillId="0" borderId="12" xfId="0" applyFont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/>
    </xf>
    <xf numFmtId="2" fontId="2" fillId="11" borderId="0" xfId="0" applyNumberFormat="1" applyFont="1" applyFill="1" applyBorder="1" applyAlignment="1">
      <alignment horizontal="center" vertical="center"/>
    </xf>
    <xf numFmtId="2" fontId="2" fillId="11" borderId="0" xfId="0" applyNumberFormat="1" applyFont="1" applyFill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1" fontId="18" fillId="5" borderId="0" xfId="0" applyNumberFormat="1" applyFont="1" applyFill="1"/>
    <xf numFmtId="1" fontId="2" fillId="12" borderId="0" xfId="0" applyNumberFormat="1" applyFont="1" applyFill="1" applyAlignment="1">
      <alignment horizontal="center"/>
    </xf>
    <xf numFmtId="1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2" fontId="3" fillId="11" borderId="7" xfId="0" applyNumberFormat="1" applyFont="1" applyFill="1" applyBorder="1" applyAlignment="1">
      <alignment horizontal="center" vertical="center"/>
    </xf>
    <xf numFmtId="2" fontId="3" fillId="11" borderId="0" xfId="0" applyNumberFormat="1" applyFont="1" applyFill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2" fontId="2" fillId="11" borderId="10" xfId="0" applyNumberFormat="1" applyFont="1" applyFill="1" applyBorder="1" applyAlignment="1">
      <alignment horizontal="center" vertical="center"/>
    </xf>
    <xf numFmtId="2" fontId="2" fillId="11" borderId="7" xfId="0" applyNumberFormat="1" applyFont="1" applyFill="1" applyBorder="1" applyAlignment="1">
      <alignment horizontal="center" vertical="center"/>
    </xf>
    <xf numFmtId="2" fontId="2" fillId="11" borderId="11" xfId="0" applyNumberFormat="1" applyFont="1" applyFill="1" applyBorder="1" applyAlignment="1">
      <alignment horizontal="center" vertical="center"/>
    </xf>
    <xf numFmtId="2" fontId="2" fillId="11" borderId="0" xfId="0" applyNumberFormat="1" applyFont="1" applyFill="1" applyAlignment="1">
      <alignment horizontal="center" vertical="center"/>
    </xf>
    <xf numFmtId="0" fontId="2" fillId="5" borderId="0" xfId="0" applyNumberFormat="1" applyFont="1" applyFill="1"/>
    <xf numFmtId="49" fontId="2" fillId="5" borderId="0" xfId="0" applyNumberFormat="1" applyFont="1" applyFill="1"/>
    <xf numFmtId="49" fontId="18" fillId="5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0344244590247"/>
          <c:y val="5.7847699286187521E-2"/>
          <c:w val="0.81051756532995278"/>
          <c:h val="0.77966848407809219"/>
        </c:manualLayout>
      </c:layout>
      <c:lineChart>
        <c:grouping val="standard"/>
        <c:varyColors val="0"/>
        <c:ser>
          <c:idx val="0"/>
          <c:order val="0"/>
          <c:tx>
            <c:strRef>
              <c:f>'EX_IM_gap model'!$A$50</c:f>
              <c:strCache>
                <c:ptCount val="1"/>
                <c:pt idx="0">
                  <c:v>Real exports gap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'EX_IM_gap model'!$C$1:$Y$1</c:f>
              <c:numCache>
                <c:formatCode>0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'EX_IM_gap model'!$M$50:$AA$50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F7-4174-942E-050FE280AFF5}"/>
            </c:ext>
          </c:extLst>
        </c:ser>
        <c:ser>
          <c:idx val="1"/>
          <c:order val="1"/>
          <c:tx>
            <c:strRef>
              <c:f>'EX_IM_gap model'!$A$58</c:f>
              <c:strCache>
                <c:ptCount val="1"/>
                <c:pt idx="0">
                  <c:v>Est. real exports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'EX_IM_gap model'!$C$1:$Y$1</c:f>
              <c:numCache>
                <c:formatCode>0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'EX_IM_gap model'!$M$58:$AA$58</c:f>
              <c:numCache>
                <c:formatCode>0.0</c:formatCode>
                <c:ptCount val="15"/>
                <c:pt idx="0">
                  <c:v>0.96823132276300328</c:v>
                </c:pt>
                <c:pt idx="1">
                  <c:v>7.9035201193850924</c:v>
                </c:pt>
                <c:pt idx="2">
                  <c:v>6.1274305191396934</c:v>
                </c:pt>
                <c:pt idx="3">
                  <c:v>7.3088811196752772</c:v>
                </c:pt>
                <c:pt idx="4">
                  <c:v>1.7992529253778855</c:v>
                </c:pt>
                <c:pt idx="5">
                  <c:v>-2.9669471874655073</c:v>
                </c:pt>
                <c:pt idx="6">
                  <c:v>-1.3677062502652433</c:v>
                </c:pt>
                <c:pt idx="7">
                  <c:v>1.10684553332338</c:v>
                </c:pt>
                <c:pt idx="8">
                  <c:v>2.1730260274401019</c:v>
                </c:pt>
                <c:pt idx="9">
                  <c:v>2.3793576912825927</c:v>
                </c:pt>
                <c:pt idx="10">
                  <c:v>-7.0272057365092735</c:v>
                </c:pt>
                <c:pt idx="11">
                  <c:v>-2.5771514299982812</c:v>
                </c:pt>
                <c:pt idx="12">
                  <c:v>-5.8845196050131392</c:v>
                </c:pt>
                <c:pt idx="13">
                  <c:v>-128.872719581317</c:v>
                </c:pt>
                <c:pt idx="14">
                  <c:v>-129.85584532511785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F7-4174-942E-050FE280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653656"/>
        <c:axId val="519655952"/>
      </c:lineChart>
      <c:catAx>
        <c:axId val="5196536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5952"/>
        <c:crosses val="autoZero"/>
        <c:auto val="1"/>
        <c:lblAlgn val="ctr"/>
        <c:lblOffset val="100"/>
        <c:noMultiLvlLbl val="0"/>
      </c:catAx>
      <c:valAx>
        <c:axId val="519655952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39942312060051"/>
          <c:y val="0.93412697510113141"/>
          <c:w val="0.56520095078947963"/>
          <c:h val="6.5873024898868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56939240488908E-2"/>
          <c:y val="5.1139641605191716E-2"/>
          <c:w val="0.91055203483903235"/>
          <c:h val="0.73466250032946079"/>
        </c:manualLayout>
      </c:layout>
      <c:lineChart>
        <c:grouping val="standard"/>
        <c:varyColors val="0"/>
        <c:ser>
          <c:idx val="0"/>
          <c:order val="0"/>
          <c:tx>
            <c:strRef>
              <c:f>'EX_IM_gap model'!$A$51</c:f>
              <c:strCache>
                <c:ptCount val="1"/>
                <c:pt idx="0">
                  <c:v>Real imports gap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'EX_IM_gap model'!$C$1:$Y$1</c:f>
              <c:numCache>
                <c:formatCode>0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'EX_IM_gap model'!$M$51:$AA$51</c:f>
              <c:numCache>
                <c:formatCode>0.0</c:formatCode>
                <c:ptCount val="15"/>
                <c:pt idx="0">
                  <c:v>146.37586317548346</c:v>
                </c:pt>
                <c:pt idx="1">
                  <c:v>165.22148026959496</c:v>
                </c:pt>
                <c:pt idx="2">
                  <c:v>161.58862365331515</c:v>
                </c:pt>
                <c:pt idx="3">
                  <c:v>168.06062771374809</c:v>
                </c:pt>
                <c:pt idx="4">
                  <c:v>176.30051984274451</c:v>
                </c:pt>
                <c:pt idx="5">
                  <c:v>164.51276017204918</c:v>
                </c:pt>
                <c:pt idx="6">
                  <c:v>161.34315714355387</c:v>
                </c:pt>
                <c:pt idx="7">
                  <c:v>158.87320745335887</c:v>
                </c:pt>
                <c:pt idx="8">
                  <c:v>171.76828864332663</c:v>
                </c:pt>
                <c:pt idx="9">
                  <c:v>168.92560245103755</c:v>
                </c:pt>
                <c:pt idx="10">
                  <c:v>156.90766498478104</c:v>
                </c:pt>
                <c:pt idx="11">
                  <c:v>183.65289461542238</c:v>
                </c:pt>
                <c:pt idx="12">
                  <c:v>211.90100132072575</c:v>
                </c:pt>
                <c:pt idx="13">
                  <c:v>1192.5302993821824</c:v>
                </c:pt>
                <c:pt idx="14">
                  <c:v>1199.0834687502518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EE-42A7-9A1A-D607F2FBE453}"/>
            </c:ext>
          </c:extLst>
        </c:ser>
        <c:ser>
          <c:idx val="1"/>
          <c:order val="1"/>
          <c:tx>
            <c:strRef>
              <c:f>'EX_IM_gap model'!$A$59</c:f>
              <c:strCache>
                <c:ptCount val="1"/>
                <c:pt idx="0">
                  <c:v>Est. real imports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'EX_IM_gap model'!$C$1:$Y$1</c:f>
              <c:numCache>
                <c:formatCode>0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'EX_IM_gap model'!$M$59:$AA$59</c:f>
              <c:numCache>
                <c:formatCode>0.0</c:formatCode>
                <c:ptCount val="15"/>
                <c:pt idx="0">
                  <c:v>-49.231070608045968</c:v>
                </c:pt>
                <c:pt idx="1">
                  <c:v>-48.585052399939428</c:v>
                </c:pt>
                <c:pt idx="2">
                  <c:v>-45.358786914646231</c:v>
                </c:pt>
                <c:pt idx="3">
                  <c:v>-50.616880628031794</c:v>
                </c:pt>
                <c:pt idx="4">
                  <c:v>-56.938542214733133</c:v>
                </c:pt>
                <c:pt idx="5">
                  <c:v>-60.533242395473366</c:v>
                </c:pt>
                <c:pt idx="6">
                  <c:v>-58.515580374558965</c:v>
                </c:pt>
                <c:pt idx="7">
                  <c:v>-49.401705096737572</c:v>
                </c:pt>
                <c:pt idx="8">
                  <c:v>-40.866670068231713</c:v>
                </c:pt>
                <c:pt idx="9">
                  <c:v>-39.446715540323623</c:v>
                </c:pt>
                <c:pt idx="10">
                  <c:v>-31.553732524752149</c:v>
                </c:pt>
                <c:pt idx="11">
                  <c:v>-38.339095026262783</c:v>
                </c:pt>
                <c:pt idx="12">
                  <c:v>-22.255830367110264</c:v>
                </c:pt>
                <c:pt idx="13">
                  <c:v>204.1994563585742</c:v>
                </c:pt>
                <c:pt idx="14">
                  <c:v>206.30231454904839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EE-42A7-9A1A-D607F2FB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395056"/>
        <c:axId val="529393744"/>
      </c:lineChart>
      <c:catAx>
        <c:axId val="5293950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93744"/>
        <c:crosses val="autoZero"/>
        <c:auto val="1"/>
        <c:lblAlgn val="ctr"/>
        <c:lblOffset val="100"/>
        <c:noMultiLvlLbl val="0"/>
      </c:catAx>
      <c:valAx>
        <c:axId val="52939374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9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7341</xdr:colOff>
      <xdr:row>77</xdr:row>
      <xdr:rowOff>3533</xdr:rowOff>
    </xdr:from>
    <xdr:to>
      <xdr:col>26</xdr:col>
      <xdr:colOff>454804</xdr:colOff>
      <xdr:row>95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F61E3-8B1D-4EA1-BE38-0124A80C3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11123</xdr:colOff>
      <xdr:row>77</xdr:row>
      <xdr:rowOff>3182</xdr:rowOff>
    </xdr:from>
    <xdr:to>
      <xdr:col>37</xdr:col>
      <xdr:colOff>193702</xdr:colOff>
      <xdr:row>95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A607B-C795-437F-B6A5-61000054B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19050</xdr:colOff>
      <xdr:row>67</xdr:row>
      <xdr:rowOff>38100</xdr:rowOff>
    </xdr:from>
    <xdr:ext cx="1708150" cy="304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1A96CF4-2C9C-4582-B895-AF1B1DAF2AE8}"/>
                </a:ext>
              </a:extLst>
            </xdr:cNvPr>
            <xdr:cNvSpPr txBox="1"/>
          </xdr:nvSpPr>
          <xdr:spPr>
            <a:xfrm>
              <a:off x="18126075" y="7724775"/>
              <a:ext cx="1708150" cy="3048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acc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40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sSubSup>
                    <m:sSubSupPr>
                      <m:ctrlPr>
                        <a:rPr lang="en-US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acc>
                        <m:accPr>
                          <m:chr m:val="̂"/>
                          <m:ctrlPr>
                            <a:rPr kumimoji="0" lang="en-US" sz="1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𝑌</m:t>
                          </m:r>
                        </m:e>
                      </m:acc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𝑡</m:t>
                      </m:r>
                    </m:sub>
                    <m:sup>
                      <m:r>
                        <a:rPr lang="en-US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𝑓</m:t>
                      </m:r>
                    </m:sup>
                  </m:sSubSup>
                </m:oMath>
              </a14:m>
              <a:r>
                <a:rPr lang="en-US" sz="1400"/>
                <a:t> + </a:t>
              </a:r>
              <a14:m>
                <m:oMath xmlns:m="http://schemas.openxmlformats.org/officeDocument/2006/math">
                  <m:sSub>
                    <m:sSubPr>
                      <m:ctrlPr>
                        <a:rPr kumimoji="0" lang="en-US" sz="1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kumimoji="0" lang="en-US" sz="1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kumimoji="0" lang="en-US" sz="1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kumimoji="0" lang="en-US" sz="14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kumimoji="0" lang="en-US" sz="1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kumimoji="0" lang="en-US" sz="1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𝑧</m:t>
                          </m:r>
                        </m:e>
                      </m:acc>
                    </m:e>
                    <m:sub>
                      <m:r>
                        <a:rPr kumimoji="0" lang="en-US" sz="1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1A96CF4-2C9C-4582-B895-AF1B1DAF2AE8}"/>
                </a:ext>
              </a:extLst>
            </xdr:cNvPr>
            <xdr:cNvSpPr txBox="1"/>
          </xdr:nvSpPr>
          <xdr:spPr>
            <a:xfrm>
              <a:off x="18126075" y="7724775"/>
              <a:ext cx="1708150" cy="3048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𝑥 ̂_𝑡</a:t>
              </a:r>
              <a:r>
                <a:rPr lang="en-US" sz="1400" i="0">
                  <a:latin typeface="Cambria Math" panose="02040503050406030204" pitchFamily="18" charset="0"/>
                </a:rPr>
                <a:t>=</a:t>
              </a:r>
              <a:r>
                <a:rPr lang="en-US" sz="1400" b="0" i="0">
                  <a:latin typeface="Cambria Math" panose="02040503050406030204" pitchFamily="18" charset="0"/>
                </a:rPr>
                <a:t>𝑐_1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kumimoji="0" lang="en-US" sz="1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𝑌 ̂_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𝑡^𝑓</a:t>
              </a:r>
              <a:r>
                <a:rPr lang="en-US" sz="1400"/>
                <a:t> + </a:t>
              </a:r>
              <a:r>
                <a:rPr kumimoji="0" lang="en-US" sz="1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𝑐_2</a:t>
              </a:r>
              <a:r>
                <a:rPr kumimoji="0" lang="en-US" sz="1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∙𝑧 ̂_𝑡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21</xdr:col>
      <xdr:colOff>14194</xdr:colOff>
      <xdr:row>65</xdr:row>
      <xdr:rowOff>143809</xdr:rowOff>
    </xdr:from>
    <xdr:ext cx="2876550" cy="317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C8AD244-4DE0-4CA0-B788-2F297CE1DD2A}"/>
                </a:ext>
              </a:extLst>
            </xdr:cNvPr>
            <xdr:cNvSpPr txBox="1"/>
          </xdr:nvSpPr>
          <xdr:spPr>
            <a:xfrm>
              <a:off x="21197794" y="7449484"/>
              <a:ext cx="2876550" cy="3175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𝑚</m:t>
                          </m:r>
                        </m:e>
                      </m:acc>
                    </m:e>
                    <m:sub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20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b>
                      <m:r>
                        <a:rPr lang="en-US" sz="12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sSub>
                    <m:sSubPr>
                      <m:ctrlPr>
                        <a:rPr lang="en-US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𝑐</m:t>
                          </m:r>
                        </m:e>
                      </m:acc>
                    </m:e>
                    <m:sub>
                      <m:r>
                        <a:rPr lang="en-US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𝑡</m:t>
                      </m:r>
                    </m:sub>
                  </m:sSub>
                </m:oMath>
              </a14:m>
              <a:r>
                <a:rPr lang="en-US" sz="1200"/>
                <a:t> +</a:t>
              </a:r>
              <a14:m>
                <m:oMath xmlns:m="http://schemas.openxmlformats.org/officeDocument/2006/math"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𝑔</m:t>
                          </m:r>
                        </m:e>
                      </m:acc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en-US" sz="1200"/>
                <a:t> + </a:t>
              </a:r>
              <a14:m>
                <m:oMath xmlns:m="http://schemas.openxmlformats.org/officeDocument/2006/math"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𝑖</m:t>
                          </m:r>
                        </m:e>
                      </m:acc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en-US" sz="1200"/>
                <a:t>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+ </a:t>
              </a:r>
              <a14:m>
                <m:oMath xmlns:m="http://schemas.openxmlformats.org/officeDocument/2006/math"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𝑥</m:t>
                          </m:r>
                        </m:e>
                      </m:acc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lang="en-US" sz="1200"/>
                <a:t>+ </a:t>
              </a:r>
              <a14:m>
                <m:oMath xmlns:m="http://schemas.openxmlformats.org/officeDocument/2006/math"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b>
                  </m:sSub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b>
                    <m:sSubPr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𝑧</m:t>
                          </m:r>
                        </m:e>
                      </m:acc>
                    </m:e>
                    <m:sub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C8AD244-4DE0-4CA0-B788-2F297CE1DD2A}"/>
                </a:ext>
              </a:extLst>
            </xdr:cNvPr>
            <xdr:cNvSpPr txBox="1"/>
          </xdr:nvSpPr>
          <xdr:spPr>
            <a:xfrm>
              <a:off x="21197794" y="7449484"/>
              <a:ext cx="2876550" cy="3175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𝑚 ̂_𝑡</a:t>
              </a:r>
              <a:r>
                <a:rPr lang="en-US" sz="1200" i="0">
                  <a:latin typeface="Cambria Math" panose="02040503050406030204" pitchFamily="18" charset="0"/>
                </a:rPr>
                <a:t>=</a:t>
              </a:r>
              <a:r>
                <a:rPr lang="en-US" sz="1200" b="0" i="0">
                  <a:latin typeface="Cambria Math" panose="02040503050406030204" pitchFamily="18" charset="0"/>
                </a:rPr>
                <a:t>𝑐_1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∙𝑐 ̂_𝑡</a:t>
              </a:r>
              <a:r>
                <a:rPr lang="en-US" sz="1200"/>
                <a:t> +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〖 𝑐〗_2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∙𝑔 ̂_𝑡</a:t>
              </a:r>
              <a:r>
                <a:rPr lang="en-US" sz="1200"/>
                <a:t> +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𝑐_3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∙𝑖 ̂_𝑡</a:t>
              </a:r>
              <a:r>
                <a:rPr lang="en-US" sz="1200"/>
                <a:t>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+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𝑐_3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∙𝑥 ̂_𝑡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 </a:t>
              </a:r>
              <a:r>
                <a:rPr lang="en-US" sz="1200"/>
                <a:t>+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𝑐_5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∙𝑧 ̂_𝑡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17</xdr:col>
      <xdr:colOff>12700</xdr:colOff>
      <xdr:row>64</xdr:row>
      <xdr:rowOff>0</xdr:rowOff>
    </xdr:from>
    <xdr:ext cx="1708150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2D7D12C-CCD3-4DC6-BCE3-1158D8FAA91D}"/>
                </a:ext>
              </a:extLst>
            </xdr:cNvPr>
            <xdr:cNvSpPr txBox="1"/>
          </xdr:nvSpPr>
          <xdr:spPr>
            <a:xfrm>
              <a:off x="18119725" y="7124700"/>
              <a:ext cx="1708150" cy="2857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kumimoji="0" lang="en-US" sz="14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sSub>
                      <m:sSubPr>
                        <m:ctrlPr>
                          <a:rPr kumimoji="0" lang="en-US" sz="1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kumimoji="0" lang="en-US" sz="14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kumimoji="0" lang="en-US" sz="14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kumimoji="0" lang="en-US" sz="14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2D7D12C-CCD3-4DC6-BCE3-1158D8FAA91D}"/>
                </a:ext>
              </a:extLst>
            </xdr:cNvPr>
            <xdr:cNvSpPr txBox="1"/>
          </xdr:nvSpPr>
          <xdr:spPr>
            <a:xfrm>
              <a:off x="18119725" y="7124700"/>
              <a:ext cx="1708150" cy="2857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r>
                <a:rPr lang="en-US" sz="1400" i="0">
                  <a:latin typeface="Cambria Math" panose="02040503050406030204" pitchFamily="18" charset="0"/>
                </a:rPr>
                <a:t>=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̂_𝑡</a:t>
              </a:r>
              <a:r>
                <a:rPr kumimoji="0" lang="en-US" sz="1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+𝑥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17</xdr:col>
      <xdr:colOff>6350</xdr:colOff>
      <xdr:row>65</xdr:row>
      <xdr:rowOff>133350</xdr:rowOff>
    </xdr:from>
    <xdr:ext cx="1720850" cy="241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78C50C9-E42D-4AC6-B9E5-5E5B1495FE68}"/>
                </a:ext>
              </a:extLst>
            </xdr:cNvPr>
            <xdr:cNvSpPr txBox="1"/>
          </xdr:nvSpPr>
          <xdr:spPr>
            <a:xfrm>
              <a:off x="18113375" y="7439025"/>
              <a:ext cx="1720850" cy="2413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0" lang="en-US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kumimoji="0" lang="en-US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kumimoji="0" lang="en-US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2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2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2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2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2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  <m:r>
                      <a:rPr lang="en-US" sz="1200" b="0" i="1" baseline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(1+∆</m:t>
                    </m:r>
                    <m:sSub>
                      <m:sSubPr>
                        <m:ctrlPr>
                          <a:rPr lang="en-US" sz="12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2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2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2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200" b="0" i="1" baseline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−1:−10</m:t>
                        </m:r>
                      </m:sub>
                    </m:sSub>
                    <m:r>
                      <a:rPr lang="en-US" sz="1200" b="0" i="1" baseline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78C50C9-E42D-4AC6-B9E5-5E5B1495FE68}"/>
                </a:ext>
              </a:extLst>
            </xdr:cNvPr>
            <xdr:cNvSpPr txBox="1"/>
          </xdr:nvSpPr>
          <xdr:spPr>
            <a:xfrm>
              <a:off x="18113375" y="7439025"/>
              <a:ext cx="1720850" cy="2413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𝑥 ̅_𝑡=</a:t>
              </a:r>
              <a:r>
                <a:rPr lang="en-US" sz="12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̅_(𝑡−1) (1+∆𝑥 ̅_(𝑡−1:−10))</a:t>
              </a:r>
              <a:endParaRPr lang="en-US" sz="12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FPP%20UK%202016\J:\DATA\DD\GEO\BOP\GeoBo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Georgia%20FPP\Macro331-08-w\net\My%20Documents\moldova\Oct2000mission\data\eff9911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FPP%20UK%202016\U:\DATA\PA\CHL\SECTORS\BOP\Bop02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FPP%20UK%202016\U:\DATA\DD\GEO\BOP\GeoBo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ny/Desktop/MD_Extern_Proj/Sectors/MD_Sectors_Extern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lmonetaryfund-my.sharepoint.com/personal/mhussain_imf_org/Documents/0%20FPP%20JV25.03/Workshop%20Case%20Study%20-%20Georgia/GHANA%20CASE%20STUDY%20-%202024%20Update%20-%20Aug2024%20v4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FPP%20UK%202016\U:\WINDOWS\TEMP\CRI-BOP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FPP%20UK%202016\U:\DATA\CA\CRI\EXTERNAL\Output\CRI-BOP-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fs1\homes\srvsfs1\homes\Users\gabriel\Documents\FPP%20UK%202016\U:\DATA\CA\CRI\Dbase\Dinput\CRI-INPUT-ABO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I-INPUT-ABOP-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HPFilt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"/>
      <sheetName val="WB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rterly Progra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"/>
      <sheetName val="WB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ReadMe"/>
      <sheetName val="Data"/>
      <sheetName val="Rebasement"/>
      <sheetName val="SEI Table"/>
      <sheetName val="Real=&gt;"/>
      <sheetName val="Potential output"/>
      <sheetName val="GDP by sector "/>
      <sheetName val="GDP demand side "/>
      <sheetName val="GNI and S-I balance"/>
      <sheetName val="Real sector projections"/>
      <sheetName val="Trends"/>
      <sheetName val="Model Consumption"/>
      <sheetName val="Model Investment"/>
      <sheetName val="Inflation models"/>
      <sheetName val="ER Projection tool"/>
      <sheetName val="Exchange rates"/>
      <sheetName val="Population and Employment"/>
      <sheetName val="Wages"/>
      <sheetName val="CPI "/>
      <sheetName val="External=&gt;"/>
      <sheetName val="GAS Jul 2023"/>
      <sheetName val="GEE Jul 2023"/>
      <sheetName val="BOP"/>
      <sheetName val="BOP Current Account projections"/>
      <sheetName val="EX_IM_gap model"/>
      <sheetName val="Exports by commodity"/>
      <sheetName val="Imports by commodity"/>
      <sheetName val="Exports by country"/>
      <sheetName val="Imports by country"/>
      <sheetName val="BOP Fin. Account projections"/>
      <sheetName val="IIP"/>
      <sheetName val="Fiscal=&gt;"/>
      <sheetName val="Fiscal Table"/>
      <sheetName val="Fiscal projections"/>
      <sheetName val="CA fiscal balance"/>
      <sheetName val="DSA"/>
      <sheetName val="Monetary=&gt;"/>
      <sheetName val="Interest Rates"/>
      <sheetName val="Monetary Projections"/>
      <sheetName val="Currency model"/>
      <sheetName val="Deposits model"/>
      <sheetName val="CB Balance Sheet"/>
      <sheetName val="ODC Balance sheet "/>
      <sheetName val="Monetary Survey"/>
      <sheetName val="FSI"/>
      <sheetName val="M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9">
          <cell r="E19">
            <v>6.8262999293607489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SEI"/>
      <sheetName val="Ext Environment"/>
      <sheetName val="REAL -&gt;"/>
      <sheetName val="Real - GDP - Sector"/>
      <sheetName val="Potential GDP &amp; Output Gap"/>
      <sheetName val="GDP - Expenditure"/>
      <sheetName val="GDP - Private absorption"/>
      <sheetName val="Prices"/>
      <sheetName val="GDP - Nominal"/>
      <sheetName val="EXTERNAL -&gt;"/>
      <sheetName val="Exch Rates"/>
      <sheetName val="BOP_US$"/>
      <sheetName val="Exports &amp; Imports"/>
      <sheetName val="Income &amp; Transfers"/>
      <sheetName val=" FISCAL -&gt;"/>
      <sheetName val="Gov Ops"/>
      <sheetName val="Gov Rev"/>
      <sheetName val="Gov Exp"/>
      <sheetName val="MONETARY -&gt;"/>
      <sheetName val="Taylor Rule"/>
      <sheetName val="Monetary survey"/>
      <sheetName val="FSI"/>
      <sheetName val="Medium-term"/>
      <sheetName val="Tasks"/>
      <sheetName val="Appendix =&gt;"/>
      <sheetName val="DATA"/>
      <sheetName val="CPI - Monthly"/>
      <sheetName val="EcOS"/>
      <sheetName val="Additional"/>
      <sheetName val="EcData_monetary"/>
      <sheetName val="Country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(Priv.Cap)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(Priv.Cap)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2005 K"/>
      <sheetName val="J(Priv.Cap)"/>
      <sheetName val="Rakia"/>
      <sheetName val="Balance Sheet"/>
      <sheetName val="Financial accoun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HPFilter"/>
    </sheetNames>
    <definedNames>
      <definedName name="HP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7030A0"/>
  </sheetPr>
  <dimension ref="A1:AI249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ColWidth="8.85546875" defaultRowHeight="12.75" x14ac:dyDescent="0.2"/>
  <cols>
    <col min="1" max="1" width="34.28515625" style="25" customWidth="1"/>
    <col min="2" max="2" width="36.42578125" style="25" customWidth="1"/>
    <col min="3" max="3" width="9.5703125" style="25" customWidth="1"/>
    <col min="4" max="5" width="12.140625" style="25" customWidth="1"/>
    <col min="6" max="7" width="14.42578125" style="25" customWidth="1"/>
    <col min="8" max="8" width="13" style="25" customWidth="1"/>
    <col min="9" max="9" width="12.140625" style="25" customWidth="1"/>
    <col min="10" max="10" width="12.42578125" style="25" customWidth="1"/>
    <col min="11" max="11" width="8.140625" style="25" customWidth="1"/>
    <col min="12" max="12" width="9.140625" style="25" customWidth="1"/>
    <col min="13" max="13" width="10.28515625" style="25" customWidth="1"/>
    <col min="14" max="14" width="13.140625" style="25" bestFit="1" customWidth="1"/>
    <col min="15" max="15" width="12.28515625" style="25" bestFit="1" customWidth="1"/>
    <col min="16" max="16" width="12.85546875" style="25" bestFit="1" customWidth="1"/>
    <col min="17" max="17" width="10.5703125" style="25" customWidth="1"/>
    <col min="18" max="18" width="12.42578125" style="25" customWidth="1"/>
    <col min="19" max="19" width="10.5703125" style="25" bestFit="1" customWidth="1"/>
    <col min="20" max="20" width="11.5703125" style="25" bestFit="1" customWidth="1"/>
    <col min="21" max="21" width="11.85546875" style="25" customWidth="1"/>
    <col min="22" max="22" width="14.28515625" style="25" customWidth="1"/>
    <col min="23" max="24" width="12.42578125" style="25" bestFit="1" customWidth="1"/>
    <col min="25" max="27" width="10.5703125" style="25" customWidth="1"/>
    <col min="28" max="28" width="10.5703125" style="25" bestFit="1" customWidth="1"/>
    <col min="29" max="29" width="10.140625" style="25" customWidth="1"/>
    <col min="30" max="30" width="10.42578125" style="25" bestFit="1" customWidth="1"/>
    <col min="31" max="31" width="9.42578125" style="25" bestFit="1" customWidth="1"/>
    <col min="32" max="32" width="10.42578125" style="25" bestFit="1" customWidth="1"/>
    <col min="33" max="40" width="14.140625" style="25" customWidth="1"/>
    <col min="41" max="16384" width="8.85546875" style="25"/>
  </cols>
  <sheetData>
    <row r="1" spans="1:31" s="89" customFormat="1" x14ac:dyDescent="0.25">
      <c r="A1" s="86" t="s">
        <v>0</v>
      </c>
      <c r="B1" s="86" t="s">
        <v>1</v>
      </c>
      <c r="C1" s="87">
        <v>2000</v>
      </c>
      <c r="D1" s="87">
        <v>2001</v>
      </c>
      <c r="E1" s="87">
        <v>2002</v>
      </c>
      <c r="F1" s="87">
        <v>2003</v>
      </c>
      <c r="G1" s="87">
        <v>2004</v>
      </c>
      <c r="H1" s="87">
        <v>2005</v>
      </c>
      <c r="I1" s="87">
        <v>2006</v>
      </c>
      <c r="J1" s="87">
        <v>2007</v>
      </c>
      <c r="K1" s="87">
        <v>2008</v>
      </c>
      <c r="L1" s="87">
        <v>2009</v>
      </c>
      <c r="M1" s="87">
        <v>2010</v>
      </c>
      <c r="N1" s="87">
        <v>2011</v>
      </c>
      <c r="O1" s="87">
        <v>2012</v>
      </c>
      <c r="P1" s="87">
        <v>2013</v>
      </c>
      <c r="Q1" s="87">
        <v>2014</v>
      </c>
      <c r="R1" s="87">
        <v>2015</v>
      </c>
      <c r="S1" s="87">
        <v>2016</v>
      </c>
      <c r="T1" s="87">
        <v>2017</v>
      </c>
      <c r="U1" s="87">
        <v>2018</v>
      </c>
      <c r="V1" s="87">
        <v>2019</v>
      </c>
      <c r="W1" s="87">
        <v>2020</v>
      </c>
      <c r="X1" s="87">
        <v>2021</v>
      </c>
      <c r="Y1" s="87">
        <v>2022</v>
      </c>
      <c r="Z1" s="87">
        <v>2023</v>
      </c>
      <c r="AA1" s="87">
        <v>2024</v>
      </c>
      <c r="AB1" s="88">
        <v>2025</v>
      </c>
      <c r="AC1" s="88">
        <v>2026</v>
      </c>
    </row>
    <row r="2" spans="1:31" s="26" customFormat="1" x14ac:dyDescent="0.2">
      <c r="A2" s="111" t="s">
        <v>90</v>
      </c>
      <c r="B2" s="111" t="s">
        <v>125</v>
      </c>
      <c r="C2" s="34">
        <v>471.5</v>
      </c>
      <c r="D2" s="34">
        <v>565.5</v>
      </c>
      <c r="E2" s="34">
        <v>643.79999999999995</v>
      </c>
      <c r="F2" s="34">
        <v>789.9</v>
      </c>
      <c r="G2" s="34">
        <v>985.2</v>
      </c>
      <c r="H2" s="34">
        <v>1090.9000000000001</v>
      </c>
      <c r="I2" s="34">
        <v>1050.4000000000001</v>
      </c>
      <c r="J2" s="34">
        <v>1340</v>
      </c>
      <c r="K2" s="34">
        <v>1591.1</v>
      </c>
      <c r="L2" s="34">
        <v>1283</v>
      </c>
      <c r="M2" s="34">
        <v>1541.5</v>
      </c>
      <c r="N2" s="34">
        <v>2216.8000000000002</v>
      </c>
      <c r="O2" s="34">
        <v>2161.9</v>
      </c>
      <c r="P2" s="34">
        <v>2428.3000000000002</v>
      </c>
      <c r="Q2" s="34">
        <v>2339.529</v>
      </c>
      <c r="R2" s="34">
        <v>1966.837</v>
      </c>
      <c r="S2" s="34">
        <v>2044.5</v>
      </c>
      <c r="T2" s="34">
        <v>2425</v>
      </c>
      <c r="U2" s="34">
        <v>2706.2</v>
      </c>
      <c r="V2" s="34">
        <v>2779.2</v>
      </c>
      <c r="W2" s="34">
        <v>2467.1</v>
      </c>
      <c r="X2" s="34">
        <v>3144.5</v>
      </c>
      <c r="Y2" s="34">
        <v>4332.1000000000004</v>
      </c>
      <c r="Z2" s="34">
        <v>4048.6</v>
      </c>
      <c r="AA2" s="34">
        <v>3555.1</v>
      </c>
      <c r="AB2" s="28"/>
      <c r="AC2" s="28"/>
      <c r="AE2" s="29"/>
    </row>
    <row r="3" spans="1:31" s="26" customFormat="1" x14ac:dyDescent="0.2">
      <c r="A3" s="111" t="s">
        <v>92</v>
      </c>
      <c r="B3" s="111" t="s">
        <v>126</v>
      </c>
      <c r="C3" s="34">
        <v>776.4</v>
      </c>
      <c r="D3" s="34">
        <v>892.2</v>
      </c>
      <c r="E3" s="34">
        <v>1038</v>
      </c>
      <c r="F3" s="34">
        <v>1402.3</v>
      </c>
      <c r="G3" s="34">
        <v>1768.5</v>
      </c>
      <c r="H3" s="34">
        <v>2292.2919999999999</v>
      </c>
      <c r="I3" s="34">
        <v>2693.2</v>
      </c>
      <c r="J3" s="34">
        <v>3689.5</v>
      </c>
      <c r="K3" s="34">
        <v>4898.8</v>
      </c>
      <c r="L3" s="34">
        <v>3278.3</v>
      </c>
      <c r="M3" s="34">
        <v>3855.3</v>
      </c>
      <c r="N3" s="34">
        <v>5191.3</v>
      </c>
      <c r="O3" s="34">
        <v>5212.8999999999996</v>
      </c>
      <c r="P3" s="34">
        <v>5492.4</v>
      </c>
      <c r="Q3" s="34">
        <v>5317</v>
      </c>
      <c r="R3" s="34">
        <v>3986.8</v>
      </c>
      <c r="S3" s="34">
        <v>4020.3560000000002</v>
      </c>
      <c r="T3" s="34">
        <v>4831.3</v>
      </c>
      <c r="U3" s="34">
        <v>5760.1</v>
      </c>
      <c r="V3" s="34">
        <v>5842.5</v>
      </c>
      <c r="W3" s="34">
        <v>5416</v>
      </c>
      <c r="X3" s="34">
        <v>7176.8</v>
      </c>
      <c r="Y3" s="34">
        <v>9219</v>
      </c>
      <c r="Z3" s="34">
        <v>8675.5</v>
      </c>
      <c r="AA3" s="34">
        <v>9065.2000000000007</v>
      </c>
      <c r="AB3" s="28"/>
      <c r="AC3" s="28"/>
      <c r="AE3" s="29"/>
    </row>
    <row r="4" spans="1:31" s="26" customFormat="1" x14ac:dyDescent="0.2">
      <c r="A4" s="111" t="s">
        <v>80</v>
      </c>
      <c r="B4" s="111" t="s">
        <v>81</v>
      </c>
      <c r="C4" s="34">
        <v>5838.72595</v>
      </c>
      <c r="D4" s="34">
        <v>7402.9039499999999</v>
      </c>
      <c r="E4" s="34">
        <v>8898.6035999999986</v>
      </c>
      <c r="F4" s="34">
        <v>10442.478000000001</v>
      </c>
      <c r="G4" s="34">
        <v>12275.592000000001</v>
      </c>
      <c r="H4" s="34">
        <v>13996.247000000001</v>
      </c>
      <c r="I4" s="34">
        <v>13555.412</v>
      </c>
      <c r="J4" s="34">
        <v>15167.728000000001</v>
      </c>
      <c r="K4" s="34">
        <v>16547.75822</v>
      </c>
      <c r="L4" s="34">
        <v>15780.900000000001</v>
      </c>
      <c r="M4" s="34">
        <v>18735.236850000001</v>
      </c>
      <c r="N4" s="34">
        <v>25970.698720000004</v>
      </c>
      <c r="O4" s="34">
        <v>26079.864460000001</v>
      </c>
      <c r="P4" s="34">
        <v>31713.598000000002</v>
      </c>
      <c r="Q4" s="34">
        <v>36532.213240799996</v>
      </c>
      <c r="R4" s="34">
        <v>38665.065164500003</v>
      </c>
      <c r="S4" s="34">
        <v>40851.972300000001</v>
      </c>
      <c r="T4" s="34">
        <v>41467.985000000001</v>
      </c>
      <c r="U4" s="34">
        <v>46391.574740000004</v>
      </c>
      <c r="V4" s="34">
        <v>47828.086559999996</v>
      </c>
      <c r="W4" s="34">
        <v>42470.139660000001</v>
      </c>
      <c r="X4" s="34">
        <v>55799.7814</v>
      </c>
      <c r="Y4" s="34">
        <v>82993.93859000002</v>
      </c>
      <c r="Z4" s="34">
        <v>70486.126000000004</v>
      </c>
      <c r="AA4" s="34">
        <v>63245.228999999992</v>
      </c>
      <c r="AB4" s="28"/>
      <c r="AC4" s="28"/>
      <c r="AE4" s="29"/>
    </row>
    <row r="5" spans="1:31" s="26" customFormat="1" x14ac:dyDescent="0.2">
      <c r="A5" s="111" t="s">
        <v>82</v>
      </c>
      <c r="B5" s="111" t="s">
        <v>83</v>
      </c>
      <c r="C5" s="34">
        <v>9614.394119999999</v>
      </c>
      <c r="D5" s="34">
        <v>11679.70098</v>
      </c>
      <c r="E5" s="34">
        <v>14347.235999999999</v>
      </c>
      <c r="F5" s="34">
        <v>18538.405999999999</v>
      </c>
      <c r="G5" s="34">
        <v>22035.510000000002</v>
      </c>
      <c r="H5" s="34">
        <v>29410.106359999998</v>
      </c>
      <c r="I5" s="34">
        <v>34755.745999999999</v>
      </c>
      <c r="J5" s="34">
        <v>41762.188399999999</v>
      </c>
      <c r="K5" s="34">
        <v>50948.499759999999</v>
      </c>
      <c r="L5" s="34">
        <v>40323.090000000004</v>
      </c>
      <c r="M5" s="34">
        <v>46856.930670000002</v>
      </c>
      <c r="N5" s="34">
        <v>60818.156020000002</v>
      </c>
      <c r="O5" s="34">
        <v>62885.297859999991</v>
      </c>
      <c r="P5" s="34">
        <v>71730.743999999992</v>
      </c>
      <c r="Q5" s="34">
        <v>83026.018400000001</v>
      </c>
      <c r="R5" s="34">
        <v>78374.507800000007</v>
      </c>
      <c r="S5" s="34">
        <v>80332.3413784</v>
      </c>
      <c r="T5" s="34">
        <v>82616.196260000012</v>
      </c>
      <c r="U5" s="34">
        <v>98743.666270000016</v>
      </c>
      <c r="V5" s="34">
        <v>100545.33524999999</v>
      </c>
      <c r="W5" s="34">
        <v>93234.2736</v>
      </c>
      <c r="X5" s="34">
        <v>127353.75136000001</v>
      </c>
      <c r="Y5" s="34">
        <v>176616.68010000003</v>
      </c>
      <c r="Z5" s="34">
        <v>151040.45499999999</v>
      </c>
      <c r="AA5" s="34">
        <v>161269.908</v>
      </c>
      <c r="AB5" s="28"/>
      <c r="AC5" s="28"/>
      <c r="AE5" s="29"/>
    </row>
    <row r="6" spans="1:31" s="26" customFormat="1" x14ac:dyDescent="0.2">
      <c r="A6" s="111" t="s">
        <v>93</v>
      </c>
      <c r="B6" s="111" t="s">
        <v>91</v>
      </c>
      <c r="C6" s="34">
        <v>12.3833</v>
      </c>
      <c r="D6" s="34">
        <v>13.0909</v>
      </c>
      <c r="E6" s="34">
        <v>13.821999999999999</v>
      </c>
      <c r="F6" s="34">
        <v>13.22</v>
      </c>
      <c r="G6" s="34">
        <v>12.46</v>
      </c>
      <c r="H6" s="34">
        <v>12.83</v>
      </c>
      <c r="I6" s="34">
        <v>12.904999999999999</v>
      </c>
      <c r="J6" s="34">
        <v>11.3192</v>
      </c>
      <c r="K6" s="34">
        <v>10.4002</v>
      </c>
      <c r="L6" s="34">
        <v>12.3</v>
      </c>
      <c r="M6" s="34">
        <v>12.1539</v>
      </c>
      <c r="N6" s="34">
        <v>11.715400000000001</v>
      </c>
      <c r="O6" s="34">
        <v>12.0634</v>
      </c>
      <c r="P6" s="34">
        <v>13.06</v>
      </c>
      <c r="Q6" s="34">
        <v>15.6152</v>
      </c>
      <c r="R6" s="34">
        <v>19.6585</v>
      </c>
      <c r="S6" s="34">
        <v>19.981400000000001</v>
      </c>
      <c r="T6" s="34">
        <v>17.100200000000001</v>
      </c>
      <c r="U6" s="34">
        <v>17.142700000000001</v>
      </c>
      <c r="V6" s="34">
        <v>17.209299999999999</v>
      </c>
      <c r="W6" s="34">
        <v>17.214600000000001</v>
      </c>
      <c r="X6" s="34">
        <v>17.745200000000001</v>
      </c>
      <c r="Y6" s="34">
        <v>19.157900000000001</v>
      </c>
      <c r="Z6" s="34">
        <v>17.41</v>
      </c>
      <c r="AA6" s="34">
        <v>17.79</v>
      </c>
      <c r="AB6" s="28"/>
      <c r="AC6" s="28"/>
      <c r="AE6" s="29"/>
    </row>
    <row r="7" spans="1:31" s="26" customFormat="1" x14ac:dyDescent="0.2">
      <c r="A7" s="111" t="s">
        <v>2</v>
      </c>
      <c r="B7" s="111" t="s">
        <v>127</v>
      </c>
      <c r="C7" s="34">
        <v>100</v>
      </c>
      <c r="D7" s="34">
        <v>106.82629992936074</v>
      </c>
      <c r="E7" s="34">
        <v>120.3546175221074</v>
      </c>
      <c r="F7" s="34">
        <v>140.26355616389034</v>
      </c>
      <c r="G7" s="34">
        <v>156.50584491084035</v>
      </c>
      <c r="H7" s="34">
        <v>174.41889561593183</v>
      </c>
      <c r="I7" s="34">
        <v>204.82408923281827</v>
      </c>
      <c r="J7" s="34">
        <v>245.66048536528817</v>
      </c>
      <c r="K7" s="34">
        <v>269.5251687528434</v>
      </c>
      <c r="L7" s="34">
        <v>227.41553840456783</v>
      </c>
      <c r="M7" s="34">
        <v>253.89226801754549</v>
      </c>
      <c r="N7" s="34">
        <v>289.77033670788671</v>
      </c>
      <c r="O7" s="34">
        <v>301.15770946331673</v>
      </c>
      <c r="P7" s="34">
        <v>314.48045931686505</v>
      </c>
      <c r="Q7" s="34">
        <v>305.29241486217671</v>
      </c>
      <c r="R7" s="34">
        <v>298.09147667493698</v>
      </c>
      <c r="S7" s="34">
        <v>314.64235607086562</v>
      </c>
      <c r="T7" s="34">
        <v>341.28850043010726</v>
      </c>
      <c r="U7" s="34">
        <v>363.00225895687936</v>
      </c>
      <c r="V7" s="34">
        <v>376.32480579347629</v>
      </c>
      <c r="W7" s="34">
        <v>356.60161597188693</v>
      </c>
      <c r="X7" s="34">
        <v>380.47121509969384</v>
      </c>
      <c r="Y7" s="34">
        <v>396.14535972320857</v>
      </c>
      <c r="Z7" s="34">
        <v>400</v>
      </c>
      <c r="AA7" s="34">
        <v>415</v>
      </c>
      <c r="AB7" s="30"/>
      <c r="AC7" s="30"/>
    </row>
    <row r="8" spans="1:31" s="26" customFormat="1" x14ac:dyDescent="0.2">
      <c r="A8" s="111" t="s">
        <v>4</v>
      </c>
      <c r="B8" s="111" t="s">
        <v>128</v>
      </c>
      <c r="C8" s="34">
        <v>73.14</v>
      </c>
      <c r="D8" s="34">
        <v>75.83</v>
      </c>
      <c r="E8" s="34">
        <v>71.709999999999994</v>
      </c>
      <c r="F8" s="34">
        <v>67.87</v>
      </c>
      <c r="G8" s="34">
        <v>77.680000000000007</v>
      </c>
      <c r="H8" s="34">
        <v>79.27</v>
      </c>
      <c r="I8" s="34">
        <v>81.42</v>
      </c>
      <c r="J8" s="34">
        <v>87.73</v>
      </c>
      <c r="K8" s="34">
        <v>104.07</v>
      </c>
      <c r="L8" s="34">
        <v>106.69</v>
      </c>
      <c r="M8" s="34">
        <v>100</v>
      </c>
      <c r="N8" s="34">
        <v>104.96</v>
      </c>
      <c r="O8" s="34">
        <v>110.05</v>
      </c>
      <c r="P8" s="34">
        <v>106.71</v>
      </c>
      <c r="Q8" s="34">
        <v>102.67</v>
      </c>
      <c r="R8" s="34">
        <v>99.12</v>
      </c>
      <c r="S8" s="34">
        <v>101.81</v>
      </c>
      <c r="T8" s="34">
        <v>112.94</v>
      </c>
      <c r="U8" s="34">
        <v>122.97</v>
      </c>
      <c r="V8" s="34">
        <v>125.59</v>
      </c>
      <c r="W8" s="34">
        <v>132.03</v>
      </c>
      <c r="X8" s="34">
        <v>128.4</v>
      </c>
      <c r="Y8" s="34">
        <v>154.61000000000001</v>
      </c>
      <c r="Z8" s="34">
        <v>173.28</v>
      </c>
      <c r="AA8" s="34">
        <v>180.23</v>
      </c>
      <c r="AB8" s="30"/>
      <c r="AC8" s="30"/>
    </row>
    <row r="9" spans="1:31" s="26" customFormat="1" x14ac:dyDescent="0.2">
      <c r="A9" s="111" t="s">
        <v>87</v>
      </c>
      <c r="B9" s="111" t="s">
        <v>89</v>
      </c>
      <c r="C9" s="34">
        <v>525.41223348479559</v>
      </c>
      <c r="D9" s="34">
        <v>444.69634835077915</v>
      </c>
      <c r="E9" s="34">
        <v>741.29257712614287</v>
      </c>
      <c r="F9" s="34">
        <v>830.72023399988984</v>
      </c>
      <c r="G9" s="34">
        <v>1064.2221159329642</v>
      </c>
      <c r="H9" s="34">
        <v>1540.7956290586658</v>
      </c>
      <c r="I9" s="34">
        <v>2320.3012049522617</v>
      </c>
      <c r="J9" s="34">
        <v>2676.6258687613827</v>
      </c>
      <c r="K9" s="34">
        <v>2916.067595062455</v>
      </c>
      <c r="L9" s="34">
        <v>2014.1352269173458</v>
      </c>
      <c r="M9" s="34">
        <v>2283.2761750584082</v>
      </c>
      <c r="N9" s="34">
        <v>2852.1152707003444</v>
      </c>
      <c r="O9" s="34">
        <v>3664.9499733254852</v>
      </c>
      <c r="P9" s="34">
        <v>4697.4929192957934</v>
      </c>
      <c r="Q9" s="34">
        <v>6262.6419102632508</v>
      </c>
      <c r="R9" s="34">
        <v>5236.0388086609391</v>
      </c>
      <c r="S9" s="34">
        <v>3587.6</v>
      </c>
      <c r="T9" s="34">
        <v>4138.6000000000004</v>
      </c>
      <c r="U9" s="34">
        <v>4517.2</v>
      </c>
      <c r="V9" s="34">
        <v>4783.2000000000007</v>
      </c>
      <c r="W9" s="34">
        <v>5506.2000000000007</v>
      </c>
      <c r="X9" s="34">
        <v>6623.2</v>
      </c>
      <c r="Y9" s="34">
        <v>7587.3</v>
      </c>
      <c r="Z9" s="34">
        <v>9276.1</v>
      </c>
      <c r="AA9" s="34">
        <v>8254.2999999999993</v>
      </c>
      <c r="AB9" s="30"/>
      <c r="AC9" s="30"/>
    </row>
    <row r="10" spans="1:31" s="26" customFormat="1" x14ac:dyDescent="0.2">
      <c r="A10" s="111" t="s">
        <v>84</v>
      </c>
      <c r="B10" s="111" t="s">
        <v>85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v>76573.948413529302</v>
      </c>
      <c r="N10" s="27">
        <v>90385.199681464001</v>
      </c>
      <c r="O10" s="27">
        <v>96677.555688759807</v>
      </c>
      <c r="P10" s="27">
        <v>107345.99796694801</v>
      </c>
      <c r="Q10" s="27">
        <v>121811.851</v>
      </c>
      <c r="R10" s="27">
        <v>126825.641</v>
      </c>
      <c r="S10" s="27">
        <v>136172.85800000001</v>
      </c>
      <c r="T10" s="27">
        <v>150714.25200000001</v>
      </c>
      <c r="U10" s="27">
        <v>159027.601</v>
      </c>
      <c r="V10" s="27">
        <v>172799.91800000001</v>
      </c>
      <c r="W10" s="27">
        <v>162226.503</v>
      </c>
      <c r="X10" s="27">
        <v>199601.90299999999</v>
      </c>
      <c r="Y10" s="27">
        <v>230269.64675323898</v>
      </c>
      <c r="Z10" s="27">
        <v>255673.592</v>
      </c>
      <c r="AA10" s="27">
        <v>275086.99444441812</v>
      </c>
      <c r="AB10" s="30"/>
      <c r="AC10" s="30"/>
    </row>
    <row r="11" spans="1:31" s="26" customFormat="1" x14ac:dyDescent="0.2">
      <c r="A11" s="111" t="s">
        <v>86</v>
      </c>
      <c r="B11" s="111" t="s">
        <v>129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>
        <v>15713.900201901801</v>
      </c>
      <c r="N11" s="27">
        <v>16356.372347139501</v>
      </c>
      <c r="O11" s="27">
        <v>17604.788168225099</v>
      </c>
      <c r="P11" s="27">
        <v>18295.861368674901</v>
      </c>
      <c r="Q11" s="27">
        <v>18353.498</v>
      </c>
      <c r="R11" s="27">
        <v>20102.579000000002</v>
      </c>
      <c r="S11" s="27">
        <v>22860.917000000001</v>
      </c>
      <c r="T11" s="27">
        <v>25970.881000000001</v>
      </c>
      <c r="U11" s="27">
        <v>27000.341</v>
      </c>
      <c r="V11" s="27">
        <v>31373.679</v>
      </c>
      <c r="W11" s="27">
        <v>34342.618000000002</v>
      </c>
      <c r="X11" s="27">
        <v>40577.883000000002</v>
      </c>
      <c r="Y11" s="27">
        <v>48059.610607389877</v>
      </c>
      <c r="Z11" s="27">
        <v>54428.197999999997</v>
      </c>
      <c r="AA11" s="27">
        <v>57891.717795465127</v>
      </c>
      <c r="AB11" s="30"/>
      <c r="AC11" s="30"/>
    </row>
    <row r="12" spans="1:31" s="26" customFormat="1" x14ac:dyDescent="0.2">
      <c r="A12" s="112" t="s">
        <v>106</v>
      </c>
      <c r="B12" s="111" t="s">
        <v>130</v>
      </c>
      <c r="C12" s="27">
        <v>5424.9</v>
      </c>
      <c r="D12" s="27">
        <v>6118.3</v>
      </c>
      <c r="E12" s="27">
        <v>7339.7</v>
      </c>
      <c r="F12" s="27">
        <v>9417</v>
      </c>
      <c r="G12" s="27">
        <v>11323.6</v>
      </c>
      <c r="H12" s="27">
        <v>14527.6</v>
      </c>
      <c r="I12" s="27">
        <v>17847.8</v>
      </c>
      <c r="J12" s="27">
        <v>22292</v>
      </c>
      <c r="K12" s="27">
        <v>25516.9</v>
      </c>
      <c r="L12" s="27">
        <v>23517.7</v>
      </c>
      <c r="M12" s="27">
        <v>27537.3</v>
      </c>
      <c r="N12" s="27">
        <v>30139.7</v>
      </c>
      <c r="O12" s="27">
        <v>33526.1</v>
      </c>
      <c r="P12" s="27">
        <v>36899.5</v>
      </c>
      <c r="Q12" s="27">
        <v>42446.8</v>
      </c>
      <c r="R12" s="27">
        <v>43681.1</v>
      </c>
      <c r="S12" s="27">
        <v>45953.9</v>
      </c>
      <c r="T12" s="27">
        <v>53377.600000000006</v>
      </c>
      <c r="U12" s="27">
        <v>57995.900000000016</v>
      </c>
      <c r="V12" s="27">
        <v>62949.200000000019</v>
      </c>
      <c r="W12" s="27">
        <v>62649.999999999985</v>
      </c>
      <c r="X12" s="27">
        <v>77373.100000000006</v>
      </c>
      <c r="Y12" s="27">
        <v>91505.400000000009</v>
      </c>
      <c r="Z12" s="27">
        <v>102299.2</v>
      </c>
      <c r="AA12" s="27">
        <v>110338.5</v>
      </c>
      <c r="AB12" s="30"/>
      <c r="AC12" s="30"/>
    </row>
    <row r="13" spans="1:31" s="26" customFormat="1" x14ac:dyDescent="0.2">
      <c r="A13" s="112" t="s">
        <v>107</v>
      </c>
      <c r="B13" s="111" t="s">
        <v>131</v>
      </c>
      <c r="C13" s="27">
        <v>264.5</v>
      </c>
      <c r="D13" s="27">
        <v>347.6</v>
      </c>
      <c r="E13" s="27">
        <v>467.5</v>
      </c>
      <c r="F13" s="27">
        <v>623.4</v>
      </c>
      <c r="G13" s="27">
        <v>796.6</v>
      </c>
      <c r="H13" s="27">
        <v>869.2</v>
      </c>
      <c r="I13" s="27">
        <v>1127.7</v>
      </c>
      <c r="J13" s="27">
        <v>1328.7</v>
      </c>
      <c r="K13" s="27">
        <v>1479.6</v>
      </c>
      <c r="L13" s="27">
        <v>1464.9</v>
      </c>
      <c r="M13" s="27">
        <v>1544.7</v>
      </c>
      <c r="N13" s="27">
        <v>1769.1</v>
      </c>
      <c r="O13" s="27">
        <v>2026.9999999999998</v>
      </c>
      <c r="P13" s="27">
        <v>2205.7000000000003</v>
      </c>
      <c r="Q13" s="27">
        <v>2447</v>
      </c>
      <c r="R13" s="27">
        <v>2745.4</v>
      </c>
      <c r="S13" s="27">
        <v>3181.5</v>
      </c>
      <c r="T13" s="27">
        <v>3648.9</v>
      </c>
      <c r="U13" s="27">
        <v>3982</v>
      </c>
      <c r="V13" s="27">
        <v>3970</v>
      </c>
      <c r="W13" s="27">
        <v>4165.6000000000004</v>
      </c>
      <c r="X13" s="27">
        <v>5133.8</v>
      </c>
      <c r="Y13" s="27">
        <v>5997.2999999999993</v>
      </c>
      <c r="Z13" s="27">
        <v>7232.8</v>
      </c>
      <c r="AA13" s="27">
        <v>8669.7999999999993</v>
      </c>
      <c r="AB13" s="30"/>
      <c r="AC13" s="30"/>
    </row>
    <row r="14" spans="1:31" s="26" customFormat="1" x14ac:dyDescent="0.2">
      <c r="A14" s="112" t="s">
        <v>108</v>
      </c>
      <c r="B14" s="111" t="s">
        <v>132</v>
      </c>
      <c r="C14" s="27">
        <v>275.60000000000002</v>
      </c>
      <c r="D14" s="27">
        <v>349.7</v>
      </c>
      <c r="E14" s="27">
        <v>427.6</v>
      </c>
      <c r="F14" s="27">
        <v>577.5</v>
      </c>
      <c r="G14" s="27">
        <v>779.6</v>
      </c>
      <c r="H14" s="27">
        <v>801.9</v>
      </c>
      <c r="I14" s="27">
        <v>1079.0999999999999</v>
      </c>
      <c r="J14" s="27">
        <v>1388.4</v>
      </c>
      <c r="K14" s="27">
        <v>717.5</v>
      </c>
      <c r="L14" s="27">
        <v>442.9</v>
      </c>
      <c r="M14" s="27">
        <v>483.9</v>
      </c>
      <c r="N14" s="27">
        <v>571.4</v>
      </c>
      <c r="O14" s="27">
        <v>1966.7</v>
      </c>
      <c r="P14" s="27">
        <v>2052.4</v>
      </c>
      <c r="Q14" s="27">
        <v>2430.5</v>
      </c>
      <c r="R14" s="27">
        <v>2808.3</v>
      </c>
      <c r="S14" s="27">
        <v>3362.6000000000004</v>
      </c>
      <c r="T14" s="27">
        <v>4073.9</v>
      </c>
      <c r="U14" s="27">
        <v>5356.7</v>
      </c>
      <c r="V14" s="27">
        <v>5365.2999999999993</v>
      </c>
      <c r="W14" s="27">
        <v>5123</v>
      </c>
      <c r="X14" s="27">
        <v>6009.3</v>
      </c>
      <c r="Y14" s="27">
        <v>8728.5999999999985</v>
      </c>
      <c r="Z14" s="27">
        <v>9421.7000000000007</v>
      </c>
      <c r="AA14" s="27">
        <v>9064.9</v>
      </c>
      <c r="AB14" s="30"/>
      <c r="AC14" s="30"/>
    </row>
    <row r="15" spans="1:31" s="26" customFormat="1" x14ac:dyDescent="0.2">
      <c r="A15" s="112" t="s">
        <v>109</v>
      </c>
      <c r="B15" s="111" t="s">
        <v>133</v>
      </c>
      <c r="C15" s="27">
        <v>611.29999999999995</v>
      </c>
      <c r="D15" s="27">
        <v>701.6</v>
      </c>
      <c r="E15" s="27">
        <v>883.7</v>
      </c>
      <c r="F15" s="27">
        <v>1175.7</v>
      </c>
      <c r="G15" s="27">
        <v>1445</v>
      </c>
      <c r="H15" s="27">
        <v>1577.6</v>
      </c>
      <c r="I15" s="27">
        <v>2078.1</v>
      </c>
      <c r="J15" s="27">
        <v>2593.9</v>
      </c>
      <c r="K15" s="27">
        <v>3187.6</v>
      </c>
      <c r="L15" s="27">
        <v>3298.7</v>
      </c>
      <c r="M15" s="27">
        <v>3264.7</v>
      </c>
      <c r="N15" s="27">
        <v>3162.5</v>
      </c>
      <c r="O15" s="27">
        <v>3505.6</v>
      </c>
      <c r="P15" s="27">
        <v>3989.9</v>
      </c>
      <c r="Q15" s="27">
        <v>4369.8</v>
      </c>
      <c r="R15" s="27">
        <v>4830.3999999999996</v>
      </c>
      <c r="S15" s="27">
        <v>5374.2</v>
      </c>
      <c r="T15" s="27">
        <v>6286.5</v>
      </c>
      <c r="U15" s="27">
        <v>7105.5</v>
      </c>
      <c r="V15" s="27">
        <v>7633.5</v>
      </c>
      <c r="W15" s="27">
        <v>7813.3</v>
      </c>
      <c r="X15" s="27">
        <v>8918.4</v>
      </c>
      <c r="Y15" s="27">
        <v>9532</v>
      </c>
      <c r="Z15" s="27">
        <v>11626.599999999999</v>
      </c>
      <c r="AA15" s="27">
        <v>12669.7</v>
      </c>
      <c r="AB15" s="30"/>
      <c r="AC15" s="30"/>
    </row>
    <row r="16" spans="1:31" s="26" customFormat="1" x14ac:dyDescent="0.2">
      <c r="A16" s="112" t="s">
        <v>110</v>
      </c>
      <c r="B16" s="111" t="s">
        <v>134</v>
      </c>
      <c r="C16" s="27">
        <v>982.7</v>
      </c>
      <c r="D16" s="27">
        <v>1196.5999999999999</v>
      </c>
      <c r="E16" s="27">
        <v>1668.6</v>
      </c>
      <c r="F16" s="27">
        <v>2374.3000000000002</v>
      </c>
      <c r="G16" s="27">
        <v>2978.5</v>
      </c>
      <c r="H16" s="27">
        <v>4051.8</v>
      </c>
      <c r="I16" s="27">
        <v>5200.8</v>
      </c>
      <c r="J16" s="27">
        <v>6357.9</v>
      </c>
      <c r="K16" s="27">
        <v>7271.6</v>
      </c>
      <c r="L16" s="27">
        <v>5518.4</v>
      </c>
      <c r="M16" s="27">
        <v>6989.2</v>
      </c>
      <c r="N16" s="27">
        <v>8547.7999999999993</v>
      </c>
      <c r="O16" s="27">
        <v>8911.2000000000007</v>
      </c>
      <c r="P16" s="27">
        <v>10106.1</v>
      </c>
      <c r="Q16" s="27">
        <v>10892.4</v>
      </c>
      <c r="R16" s="27">
        <v>10952.4</v>
      </c>
      <c r="S16" s="27">
        <v>11761</v>
      </c>
      <c r="T16" s="27">
        <v>13226.2</v>
      </c>
      <c r="U16" s="27">
        <v>14364.7</v>
      </c>
      <c r="V16" s="27">
        <v>15454.4</v>
      </c>
      <c r="W16" s="27">
        <v>14914.2</v>
      </c>
      <c r="X16" s="27">
        <v>19614.599999999999</v>
      </c>
      <c r="Y16" s="27">
        <v>24058.5</v>
      </c>
      <c r="Z16" s="27">
        <v>23348.400000000001</v>
      </c>
      <c r="AA16" s="27">
        <v>25449.8</v>
      </c>
      <c r="AB16" s="30"/>
      <c r="AC16" s="30"/>
    </row>
    <row r="17" spans="1:29" s="26" customFormat="1" x14ac:dyDescent="0.2">
      <c r="A17" s="112" t="s">
        <v>111</v>
      </c>
      <c r="B17" s="111" t="s">
        <v>135</v>
      </c>
      <c r="C17" s="27">
        <v>658.5</v>
      </c>
      <c r="D17" s="27">
        <v>680.8</v>
      </c>
      <c r="E17" s="27">
        <v>657.9</v>
      </c>
      <c r="F17" s="27">
        <v>888.4</v>
      </c>
      <c r="G17" s="27">
        <v>910.4</v>
      </c>
      <c r="H17" s="27">
        <v>1171.9000000000001</v>
      </c>
      <c r="I17" s="27">
        <v>1070.8999999999999</v>
      </c>
      <c r="J17" s="27">
        <v>1392.3</v>
      </c>
      <c r="K17" s="27">
        <v>1573.9</v>
      </c>
      <c r="L17" s="27">
        <v>1539.6</v>
      </c>
      <c r="M17" s="27">
        <v>2074</v>
      </c>
      <c r="N17" s="27">
        <v>2666.7000000000003</v>
      </c>
      <c r="O17" s="27">
        <v>2893.6</v>
      </c>
      <c r="P17" s="27">
        <v>3508.2000000000003</v>
      </c>
      <c r="Q17" s="27">
        <v>3428.1</v>
      </c>
      <c r="R17" s="27">
        <v>3843.9</v>
      </c>
      <c r="S17" s="27">
        <v>4546.4000000000005</v>
      </c>
      <c r="T17" s="27">
        <v>5950</v>
      </c>
      <c r="U17" s="27">
        <v>5683.3</v>
      </c>
      <c r="V17" s="27">
        <v>6221.9000000000005</v>
      </c>
      <c r="W17" s="27">
        <v>6468.8000000000011</v>
      </c>
      <c r="X17" s="27">
        <v>7608.3</v>
      </c>
      <c r="Y17" s="27">
        <v>8012.4999999999991</v>
      </c>
      <c r="Z17" s="27">
        <v>10138.1</v>
      </c>
      <c r="AA17" s="27">
        <v>11447.6</v>
      </c>
      <c r="AB17" s="30"/>
      <c r="AC17" s="30"/>
    </row>
    <row r="18" spans="1:29" s="26" customFormat="1" x14ac:dyDescent="0.2">
      <c r="A18" s="112" t="s">
        <v>112</v>
      </c>
      <c r="B18" s="111" t="s">
        <v>136</v>
      </c>
      <c r="C18" s="27">
        <v>273.39999999999998</v>
      </c>
      <c r="D18" s="27">
        <v>291.60000000000002</v>
      </c>
      <c r="E18" s="27">
        <v>130.6</v>
      </c>
      <c r="F18" s="27">
        <v>73</v>
      </c>
      <c r="G18" s="27">
        <v>125.2</v>
      </c>
      <c r="H18" s="27">
        <v>459.7</v>
      </c>
      <c r="I18" s="27">
        <v>315.5</v>
      </c>
      <c r="J18" s="27">
        <v>969.6</v>
      </c>
      <c r="K18" s="27">
        <v>1068.3</v>
      </c>
      <c r="L18" s="27">
        <v>1288</v>
      </c>
      <c r="M18" s="27">
        <v>1340.9</v>
      </c>
      <c r="N18" s="27">
        <v>922.8</v>
      </c>
      <c r="O18" s="27">
        <v>760.1</v>
      </c>
      <c r="P18" s="27">
        <v>704.4</v>
      </c>
      <c r="Q18" s="27">
        <v>1606.5</v>
      </c>
      <c r="R18" s="27">
        <v>0</v>
      </c>
      <c r="S18" s="27">
        <v>1193.7</v>
      </c>
      <c r="T18" s="27">
        <v>988.5</v>
      </c>
      <c r="U18" s="27">
        <v>293.5</v>
      </c>
      <c r="V18" s="27">
        <v>1602.6</v>
      </c>
      <c r="W18" s="27">
        <v>649.69999999999993</v>
      </c>
      <c r="X18" s="27">
        <v>2447.4</v>
      </c>
      <c r="Y18" s="27">
        <v>4539.4000000000005</v>
      </c>
      <c r="Z18" s="27">
        <v>5347</v>
      </c>
      <c r="AA18" s="27">
        <v>2592.3000000000002</v>
      </c>
      <c r="AB18" s="30"/>
      <c r="AC18" s="30"/>
    </row>
    <row r="19" spans="1:29" s="26" customFormat="1" x14ac:dyDescent="0.2">
      <c r="A19" s="112" t="s">
        <v>113</v>
      </c>
      <c r="B19" s="111" t="s">
        <v>137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>
        <v>2502.1999999999998</v>
      </c>
      <c r="N19" s="27">
        <v>2445.9</v>
      </c>
      <c r="O19" s="27">
        <v>2601.4</v>
      </c>
      <c r="P19" s="27">
        <v>2295.3000000000002</v>
      </c>
      <c r="Q19" s="27">
        <v>2258.1</v>
      </c>
      <c r="R19" s="27">
        <v>3024.2</v>
      </c>
      <c r="S19" s="27">
        <v>2073.6</v>
      </c>
      <c r="T19" s="27">
        <v>2380.5</v>
      </c>
      <c r="U19" s="27">
        <v>2793</v>
      </c>
      <c r="V19" s="27">
        <v>2888.5</v>
      </c>
      <c r="W19" s="27">
        <v>3018.2999999999993</v>
      </c>
      <c r="X19" s="27">
        <v>3697.8</v>
      </c>
      <c r="Y19" s="27">
        <v>4518.5999999999995</v>
      </c>
      <c r="Z19" s="27">
        <v>4923.7</v>
      </c>
      <c r="AA19" s="27">
        <v>5700.6999999999989</v>
      </c>
      <c r="AB19" s="30"/>
      <c r="AC19" s="30"/>
    </row>
    <row r="20" spans="1:29" s="26" customFormat="1" x14ac:dyDescent="0.2">
      <c r="A20" s="112" t="s">
        <v>114</v>
      </c>
      <c r="B20" s="111" t="s">
        <v>138</v>
      </c>
      <c r="C20" s="27">
        <v>1005</v>
      </c>
      <c r="D20" s="27">
        <v>1299.2</v>
      </c>
      <c r="E20" s="27">
        <v>1631</v>
      </c>
      <c r="F20" s="27">
        <v>1973.5</v>
      </c>
      <c r="G20" s="27">
        <v>2788</v>
      </c>
      <c r="H20" s="27">
        <v>3374.5</v>
      </c>
      <c r="I20" s="27">
        <v>4184.5</v>
      </c>
      <c r="J20" s="27">
        <v>5116.3999999999996</v>
      </c>
      <c r="K20" s="27">
        <v>6587.2</v>
      </c>
      <c r="L20" s="27">
        <v>6971.7999999999993</v>
      </c>
      <c r="M20" s="27">
        <v>7472</v>
      </c>
      <c r="N20" s="27">
        <v>8198.7000000000007</v>
      </c>
      <c r="O20" s="27">
        <v>8947.5</v>
      </c>
      <c r="P20" s="27">
        <v>9723.2999999999993</v>
      </c>
      <c r="Q20" s="27">
        <v>10777.1</v>
      </c>
      <c r="R20" s="27">
        <v>12127.7</v>
      </c>
      <c r="S20" s="27">
        <v>13276.7</v>
      </c>
      <c r="T20" s="27">
        <v>15512.4</v>
      </c>
      <c r="U20" s="27">
        <v>17155.5</v>
      </c>
      <c r="V20" s="27">
        <v>18403.900000000001</v>
      </c>
      <c r="W20" s="27">
        <v>19235.099999999999</v>
      </c>
      <c r="X20" s="27">
        <v>21839.1</v>
      </c>
      <c r="Y20" s="27">
        <v>24923.200000000001</v>
      </c>
      <c r="Z20" s="27">
        <v>29022.400000000001</v>
      </c>
      <c r="AA20" s="27">
        <v>33564.199999999997</v>
      </c>
      <c r="AB20" s="30"/>
      <c r="AC20" s="30"/>
    </row>
    <row r="21" spans="1:29" s="26" customFormat="1" x14ac:dyDescent="0.2">
      <c r="A21" s="112" t="s">
        <v>115</v>
      </c>
      <c r="B21" s="111" t="s">
        <v>139</v>
      </c>
      <c r="C21" s="27">
        <v>230.7</v>
      </c>
      <c r="D21" s="27">
        <v>234.2</v>
      </c>
      <c r="E21" s="27">
        <v>333</v>
      </c>
      <c r="F21" s="27">
        <v>476.6</v>
      </c>
      <c r="G21" s="27">
        <v>495.6</v>
      </c>
      <c r="H21" s="27">
        <v>685.1</v>
      </c>
      <c r="I21" s="27">
        <v>830.6</v>
      </c>
      <c r="J21" s="27">
        <v>900</v>
      </c>
      <c r="K21" s="27">
        <v>1150</v>
      </c>
      <c r="L21" s="27">
        <v>907.6</v>
      </c>
      <c r="M21" s="27">
        <v>1080.3</v>
      </c>
      <c r="N21" s="27">
        <v>1179.3</v>
      </c>
      <c r="O21" s="27">
        <v>1286.5</v>
      </c>
      <c r="P21" s="27">
        <v>1417.2</v>
      </c>
      <c r="Q21" s="27">
        <v>1457.9</v>
      </c>
      <c r="R21" s="27">
        <v>1328.3</v>
      </c>
      <c r="S21" s="27">
        <v>1451.9</v>
      </c>
      <c r="T21" s="27">
        <v>1591.1</v>
      </c>
      <c r="U21" s="27">
        <v>1665.8</v>
      </c>
      <c r="V21" s="27">
        <v>1798.4</v>
      </c>
      <c r="W21" s="27">
        <v>1738.9</v>
      </c>
      <c r="X21" s="27">
        <v>2253</v>
      </c>
      <c r="Y21" s="27">
        <v>2732.1</v>
      </c>
      <c r="Z21" s="27">
        <v>2812</v>
      </c>
      <c r="AA21" s="27">
        <v>2578.6</v>
      </c>
      <c r="AB21" s="30"/>
      <c r="AC21" s="30"/>
    </row>
    <row r="22" spans="1:29" s="26" customFormat="1" x14ac:dyDescent="0.2">
      <c r="A22" s="112"/>
      <c r="B22" s="111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30"/>
      <c r="AC22" s="30"/>
    </row>
    <row r="23" spans="1:29" s="26" customFormat="1" x14ac:dyDescent="0.2">
      <c r="A23" s="112" t="s">
        <v>116</v>
      </c>
      <c r="B23" s="111" t="s">
        <v>140</v>
      </c>
      <c r="C23" s="27">
        <v>5826.7</v>
      </c>
      <c r="D23" s="27">
        <v>6007.2</v>
      </c>
      <c r="E23" s="27">
        <v>7725.6</v>
      </c>
      <c r="F23" s="27">
        <v>9147.2999999999902</v>
      </c>
      <c r="G23" s="27">
        <v>11252.9</v>
      </c>
      <c r="H23" s="27">
        <v>13949.2</v>
      </c>
      <c r="I23" s="27">
        <v>17973.900000000001</v>
      </c>
      <c r="J23" s="27">
        <v>22415.7</v>
      </c>
      <c r="K23" s="27">
        <v>26147</v>
      </c>
      <c r="L23" s="27">
        <v>27354.3</v>
      </c>
      <c r="M23" s="27">
        <v>29349.9</v>
      </c>
      <c r="N23" s="27">
        <v>32097.1</v>
      </c>
      <c r="O23" s="27">
        <v>35455.699999999997</v>
      </c>
      <c r="P23" s="27">
        <v>38729</v>
      </c>
      <c r="Q23" s="27">
        <v>44480.199999999903</v>
      </c>
      <c r="R23" s="27">
        <v>46540.1</v>
      </c>
      <c r="S23" s="27">
        <v>48462.600000000006</v>
      </c>
      <c r="T23" s="27">
        <v>54522.399999999994</v>
      </c>
      <c r="U23" s="27">
        <v>59608.899999999987</v>
      </c>
      <c r="V23" s="27">
        <v>65975.60000000002</v>
      </c>
      <c r="W23" s="27">
        <v>73269.8</v>
      </c>
      <c r="X23" s="27">
        <v>82013.600000000006</v>
      </c>
      <c r="Y23" s="27">
        <v>100374.00000000001</v>
      </c>
      <c r="Z23" s="27">
        <v>117871.14000000001</v>
      </c>
      <c r="AA23" s="27">
        <v>122962.69999999998</v>
      </c>
      <c r="AB23" s="30"/>
      <c r="AC23" s="30"/>
    </row>
    <row r="24" spans="1:29" s="26" customFormat="1" x14ac:dyDescent="0.2">
      <c r="A24" s="112" t="s">
        <v>117</v>
      </c>
      <c r="B24" s="111" t="s">
        <v>141</v>
      </c>
      <c r="C24" s="27">
        <v>5062.5999999999995</v>
      </c>
      <c r="D24" s="27">
        <v>5350.8</v>
      </c>
      <c r="E24" s="27">
        <v>6680.3</v>
      </c>
      <c r="F24" s="27">
        <v>7940.4</v>
      </c>
      <c r="G24" s="27">
        <v>9697.8000000000011</v>
      </c>
      <c r="H24" s="27">
        <v>11659.799999999997</v>
      </c>
      <c r="I24" s="27">
        <v>14518.699999999997</v>
      </c>
      <c r="J24" s="27">
        <v>18443.199999999997</v>
      </c>
      <c r="K24" s="27">
        <v>21693</v>
      </c>
      <c r="L24" s="27">
        <v>24327.200000000001</v>
      </c>
      <c r="M24" s="27">
        <v>25957.1</v>
      </c>
      <c r="N24" s="27">
        <v>27841</v>
      </c>
      <c r="O24" s="27">
        <v>29959.5</v>
      </c>
      <c r="P24" s="27">
        <v>31640.100000000002</v>
      </c>
      <c r="Q24" s="27">
        <v>35073.1</v>
      </c>
      <c r="R24" s="27">
        <v>38725</v>
      </c>
      <c r="S24" s="27">
        <v>43026.700000000004</v>
      </c>
      <c r="T24" s="27">
        <v>48404.400000000009</v>
      </c>
      <c r="U24" s="27">
        <v>53019.599999999991</v>
      </c>
      <c r="V24" s="27">
        <v>59045.299999999996</v>
      </c>
      <c r="W24" s="27">
        <v>65831.399999999994</v>
      </c>
      <c r="X24" s="27">
        <v>73262.5</v>
      </c>
      <c r="Y24" s="27">
        <v>89920.5</v>
      </c>
      <c r="Z24" s="27">
        <v>105995.5</v>
      </c>
      <c r="AA24" s="27">
        <v>112060.9</v>
      </c>
      <c r="AB24" s="30"/>
      <c r="AC24" s="30"/>
    </row>
    <row r="25" spans="1:29" s="26" customFormat="1" x14ac:dyDescent="0.2">
      <c r="A25" s="112" t="s">
        <v>118</v>
      </c>
      <c r="B25" s="111" t="s">
        <v>142</v>
      </c>
      <c r="C25" s="27">
        <v>1233.3999999999999</v>
      </c>
      <c r="D25" s="27">
        <v>1544.2</v>
      </c>
      <c r="E25" s="27">
        <v>2143.1999999999998</v>
      </c>
      <c r="F25" s="27">
        <v>2650.2999999999997</v>
      </c>
      <c r="G25" s="27">
        <v>2507.1</v>
      </c>
      <c r="H25" s="27">
        <v>3000.4999999999995</v>
      </c>
      <c r="I25" s="27">
        <v>4175.2999999999993</v>
      </c>
      <c r="J25" s="27">
        <v>4937.2999999999993</v>
      </c>
      <c r="K25" s="27">
        <v>5729.9</v>
      </c>
      <c r="L25" s="27">
        <v>7083.9</v>
      </c>
      <c r="M25" s="27">
        <v>7403.5</v>
      </c>
      <c r="N25" s="27">
        <v>7790.4</v>
      </c>
      <c r="O25" s="27">
        <v>8608.5</v>
      </c>
      <c r="P25" s="27">
        <v>8416.7999999999993</v>
      </c>
      <c r="Q25" s="27">
        <v>9213.7000000000007</v>
      </c>
      <c r="R25" s="27">
        <v>10438.4</v>
      </c>
      <c r="S25" s="27">
        <v>10966.6</v>
      </c>
      <c r="T25" s="27">
        <v>12505.8</v>
      </c>
      <c r="U25" s="27">
        <v>13733.1</v>
      </c>
      <c r="V25" s="27">
        <v>15649</v>
      </c>
      <c r="W25" s="27">
        <v>17214.400000000001</v>
      </c>
      <c r="X25" s="27">
        <v>18775.599999999999</v>
      </c>
      <c r="Y25" s="27">
        <v>21399.7</v>
      </c>
      <c r="Z25" s="27">
        <v>24403.599999999999</v>
      </c>
      <c r="AA25" s="27">
        <v>27723.5</v>
      </c>
      <c r="AB25" s="30"/>
      <c r="AC25" s="30"/>
    </row>
    <row r="26" spans="1:29" s="26" customFormat="1" x14ac:dyDescent="0.2">
      <c r="A26" s="112" t="s">
        <v>119</v>
      </c>
      <c r="B26" s="111" t="s">
        <v>143</v>
      </c>
      <c r="C26" s="27">
        <v>968.3</v>
      </c>
      <c r="D26" s="27">
        <v>1154.7</v>
      </c>
      <c r="E26" s="27">
        <v>1556.3000000000002</v>
      </c>
      <c r="F26" s="27">
        <v>1723.9</v>
      </c>
      <c r="G26" s="27">
        <v>2485.1000000000004</v>
      </c>
      <c r="H26" s="27">
        <v>2898.8999999999996</v>
      </c>
      <c r="I26" s="27">
        <v>3595.7999999999997</v>
      </c>
      <c r="J26" s="27">
        <v>4657.7999999999993</v>
      </c>
      <c r="K26" s="27">
        <v>5838.4</v>
      </c>
      <c r="L26" s="27">
        <v>6065.1</v>
      </c>
      <c r="M26" s="27">
        <v>6720.6</v>
      </c>
      <c r="N26" s="27">
        <v>7269.5</v>
      </c>
      <c r="O26" s="27">
        <v>7862.5</v>
      </c>
      <c r="P26" s="27">
        <v>8810</v>
      </c>
      <c r="Q26" s="27">
        <v>9651.9</v>
      </c>
      <c r="R26" s="27">
        <v>10017.6</v>
      </c>
      <c r="S26" s="27">
        <v>9500.7000000000007</v>
      </c>
      <c r="T26" s="27">
        <v>10587.1</v>
      </c>
      <c r="U26" s="27">
        <v>11208.599999999999</v>
      </c>
      <c r="V26" s="27">
        <v>12079.8</v>
      </c>
      <c r="W26" s="27">
        <v>13019.1</v>
      </c>
      <c r="X26" s="27">
        <v>16682.599999999999</v>
      </c>
      <c r="Y26" s="27">
        <v>18601.400000000001</v>
      </c>
      <c r="Z26" s="27">
        <v>20295</v>
      </c>
      <c r="AA26" s="27">
        <v>22285.3</v>
      </c>
      <c r="AB26" s="30"/>
      <c r="AC26" s="30"/>
    </row>
    <row r="27" spans="1:29" s="26" customFormat="1" x14ac:dyDescent="0.2">
      <c r="A27" s="112" t="s">
        <v>120</v>
      </c>
      <c r="B27" s="111" t="s">
        <v>144</v>
      </c>
      <c r="C27" s="27">
        <v>1020.7</v>
      </c>
      <c r="D27" s="27">
        <v>797.2</v>
      </c>
      <c r="E27" s="27">
        <v>486.29999999999995</v>
      </c>
      <c r="F27" s="27">
        <v>579.5</v>
      </c>
      <c r="G27" s="27">
        <v>772.7</v>
      </c>
      <c r="H27" s="27">
        <v>487.5</v>
      </c>
      <c r="I27" s="27">
        <v>454.6</v>
      </c>
      <c r="J27" s="27">
        <v>634.59999999999991</v>
      </c>
      <c r="K27" s="27">
        <v>732.7</v>
      </c>
      <c r="L27" s="27">
        <v>843</v>
      </c>
      <c r="M27" s="27">
        <v>557.59999999999991</v>
      </c>
      <c r="N27" s="27">
        <v>673.3</v>
      </c>
      <c r="O27" s="27">
        <v>694.4</v>
      </c>
      <c r="P27" s="27">
        <v>526.90000000000009</v>
      </c>
      <c r="Q27" s="27">
        <v>624</v>
      </c>
      <c r="R27" s="27">
        <v>1099.2</v>
      </c>
      <c r="S27" s="27">
        <v>1811.7000000000003</v>
      </c>
      <c r="T27" s="27">
        <v>1959.2</v>
      </c>
      <c r="U27" s="27">
        <v>1525.9</v>
      </c>
      <c r="V27" s="27">
        <v>1641.1</v>
      </c>
      <c r="W27" s="27">
        <v>1706.6000000000001</v>
      </c>
      <c r="X27" s="27">
        <v>1941.1</v>
      </c>
      <c r="Y27" s="27">
        <v>2736.2999999999997</v>
      </c>
      <c r="Z27" s="27">
        <v>5436.3</v>
      </c>
      <c r="AA27" s="27">
        <v>4446.6000000000004</v>
      </c>
      <c r="AB27" s="30"/>
      <c r="AC27" s="30"/>
    </row>
    <row r="28" spans="1:29" s="26" customFormat="1" x14ac:dyDescent="0.2">
      <c r="A28" s="112" t="s">
        <v>121</v>
      </c>
      <c r="B28" s="111" t="s">
        <v>145</v>
      </c>
      <c r="C28" s="27">
        <v>584.5</v>
      </c>
      <c r="D28" s="27">
        <v>344.70000000000005</v>
      </c>
      <c r="E28" s="27">
        <v>141.39999999999998</v>
      </c>
      <c r="F28" s="27">
        <v>322.5</v>
      </c>
      <c r="G28" s="27">
        <v>398.90000000000003</v>
      </c>
      <c r="H28" s="27">
        <v>210.2</v>
      </c>
      <c r="I28" s="27">
        <v>223.10000000000002</v>
      </c>
      <c r="J28" s="27">
        <v>434.59999999999991</v>
      </c>
      <c r="K28" s="27">
        <v>569.40000000000009</v>
      </c>
      <c r="L28" s="27">
        <v>638.70000000000005</v>
      </c>
      <c r="M28" s="27">
        <v>373.89999999999992</v>
      </c>
      <c r="N28" s="27">
        <v>485.49999999999994</v>
      </c>
      <c r="O28" s="27">
        <v>503.7</v>
      </c>
      <c r="P28" s="27">
        <v>324.10000000000008</v>
      </c>
      <c r="Q28" s="27">
        <v>394.7</v>
      </c>
      <c r="R28" s="27">
        <v>831.7</v>
      </c>
      <c r="S28" s="27">
        <v>1477.2000000000003</v>
      </c>
      <c r="T28" s="27">
        <v>1580.8000000000002</v>
      </c>
      <c r="U28" s="27">
        <v>1128.7</v>
      </c>
      <c r="V28" s="27">
        <v>1212.9000000000001</v>
      </c>
      <c r="W28" s="27">
        <v>1332.9</v>
      </c>
      <c r="X28" s="27">
        <v>1549.8</v>
      </c>
      <c r="Y28" s="27">
        <v>2162.7000000000003</v>
      </c>
      <c r="Z28" s="27">
        <v>3971.6</v>
      </c>
      <c r="AA28" s="27">
        <v>2585.4</v>
      </c>
      <c r="AB28" s="30"/>
      <c r="AC28" s="30"/>
    </row>
    <row r="29" spans="1:29" s="26" customFormat="1" x14ac:dyDescent="0.2">
      <c r="A29" s="112" t="s">
        <v>122</v>
      </c>
      <c r="B29" s="111" t="s">
        <v>146</v>
      </c>
      <c r="C29" s="27">
        <v>436.2</v>
      </c>
      <c r="D29" s="27">
        <v>452.5</v>
      </c>
      <c r="E29" s="27">
        <v>344.9</v>
      </c>
      <c r="F29" s="27">
        <v>257</v>
      </c>
      <c r="G29" s="27">
        <v>373.8</v>
      </c>
      <c r="H29" s="27">
        <v>277.3</v>
      </c>
      <c r="I29" s="27">
        <v>231.5</v>
      </c>
      <c r="J29" s="27">
        <v>200</v>
      </c>
      <c r="K29" s="27">
        <v>163.30000000000001</v>
      </c>
      <c r="L29" s="27">
        <v>204.3</v>
      </c>
      <c r="M29" s="27">
        <v>183.7</v>
      </c>
      <c r="N29" s="27">
        <v>187.8</v>
      </c>
      <c r="O29" s="27">
        <v>190.7</v>
      </c>
      <c r="P29" s="27">
        <v>202.8</v>
      </c>
      <c r="Q29" s="27">
        <v>229.3</v>
      </c>
      <c r="R29" s="27">
        <v>267.5</v>
      </c>
      <c r="S29" s="27">
        <v>334.5</v>
      </c>
      <c r="T29" s="27">
        <v>378.4</v>
      </c>
      <c r="U29" s="27">
        <v>397.2</v>
      </c>
      <c r="V29" s="27">
        <v>428.20000000000005</v>
      </c>
      <c r="W29" s="27">
        <v>373.7</v>
      </c>
      <c r="X29" s="27">
        <v>391.3</v>
      </c>
      <c r="Y29" s="27">
        <v>573.6</v>
      </c>
      <c r="Z29" s="27">
        <v>1464.6999999999998</v>
      </c>
      <c r="AA29" s="27">
        <v>1861.2</v>
      </c>
      <c r="AB29" s="30"/>
      <c r="AC29" s="30"/>
    </row>
    <row r="30" spans="1:29" s="26" customFormat="1" x14ac:dyDescent="0.2">
      <c r="A30" s="112" t="s">
        <v>123</v>
      </c>
      <c r="B30" s="111" t="s">
        <v>147</v>
      </c>
      <c r="C30" s="27">
        <v>1740</v>
      </c>
      <c r="D30" s="27">
        <v>1745.8</v>
      </c>
      <c r="E30" s="27">
        <v>2363.1</v>
      </c>
      <c r="F30" s="27">
        <v>2855.1</v>
      </c>
      <c r="G30" s="27">
        <v>3726.8</v>
      </c>
      <c r="H30" s="27">
        <v>5055.5</v>
      </c>
      <c r="I30" s="27">
        <v>5817.9</v>
      </c>
      <c r="J30" s="27">
        <v>7710.6</v>
      </c>
      <c r="K30" s="27">
        <v>8873.1</v>
      </c>
      <c r="L30" s="27">
        <v>9849.2999999999902</v>
      </c>
      <c r="M30" s="27">
        <v>11030.9</v>
      </c>
      <c r="N30" s="27">
        <v>12422.5</v>
      </c>
      <c r="O30" s="27">
        <v>13431.9</v>
      </c>
      <c r="P30" s="27">
        <v>15080.7</v>
      </c>
      <c r="Q30" s="27">
        <v>13953.2</v>
      </c>
      <c r="R30" s="27">
        <v>19932.8</v>
      </c>
      <c r="S30" s="27">
        <v>17013.5</v>
      </c>
      <c r="T30" s="27">
        <v>18707</v>
      </c>
      <c r="U30" s="27">
        <v>20659.400000000001</v>
      </c>
      <c r="V30" s="27">
        <v>22302.6</v>
      </c>
      <c r="W30" s="27">
        <v>25008.400000000001</v>
      </c>
      <c r="X30" s="27">
        <v>28187</v>
      </c>
      <c r="Y30" s="27">
        <v>37743.9</v>
      </c>
      <c r="Z30" s="27">
        <v>43575.9</v>
      </c>
      <c r="AA30" s="27">
        <v>44763.1</v>
      </c>
      <c r="AB30" s="30"/>
      <c r="AC30" s="30"/>
    </row>
    <row r="31" spans="1:29" s="26" customFormat="1" x14ac:dyDescent="0.2">
      <c r="A31" s="112"/>
      <c r="B31" s="111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30"/>
      <c r="AC31" s="30"/>
    </row>
    <row r="32" spans="1:29" s="26" customFormat="1" x14ac:dyDescent="0.2">
      <c r="A32" s="93" t="s">
        <v>124</v>
      </c>
      <c r="B32" s="110" t="s">
        <v>148</v>
      </c>
      <c r="C32" s="27">
        <v>617.15740075831297</v>
      </c>
      <c r="D32" s="27">
        <v>676.40451123111097</v>
      </c>
      <c r="E32" s="27">
        <v>711.57754581512881</v>
      </c>
      <c r="F32" s="27">
        <v>794.12054112968372</v>
      </c>
      <c r="G32" s="27">
        <v>892.59148822976454</v>
      </c>
      <c r="H32" s="27">
        <v>998.8098753291066</v>
      </c>
      <c r="I32" s="27">
        <v>1125.6587294959031</v>
      </c>
      <c r="J32" s="27">
        <v>1264.1147532238992</v>
      </c>
      <c r="K32" s="27">
        <v>1424.6573268833345</v>
      </c>
      <c r="L32" s="27">
        <v>1424.6573268833345</v>
      </c>
      <c r="M32" s="27">
        <v>1530.0819690727012</v>
      </c>
      <c r="N32" s="27">
        <v>1646.3681987222265</v>
      </c>
      <c r="O32" s="27">
        <v>1722.1011358634489</v>
      </c>
      <c r="P32" s="27">
        <v>1801.3177881131674</v>
      </c>
      <c r="Q32" s="27">
        <v>1893.1849953069388</v>
      </c>
      <c r="R32" s="27">
        <v>2076.8239398517121</v>
      </c>
      <c r="S32" s="27">
        <v>2208.9099424262808</v>
      </c>
      <c r="T32" s="27">
        <v>2354.0353256436874</v>
      </c>
      <c r="U32" s="27">
        <v>2425.8334030758197</v>
      </c>
      <c r="V32" s="27">
        <v>2543.2437397846893</v>
      </c>
      <c r="W32" s="27">
        <v>2639.1240287745723</v>
      </c>
      <c r="X32" s="27">
        <v>2773.9832666449529</v>
      </c>
      <c r="Y32" s="27">
        <v>3571.2260574787128</v>
      </c>
      <c r="Z32" s="27">
        <v>4050.4845943923565</v>
      </c>
      <c r="AA32" s="27">
        <v>4240.0472734099185</v>
      </c>
      <c r="AB32" s="30"/>
      <c r="AC32" s="30"/>
    </row>
    <row r="33" spans="1:29" s="26" customFormat="1" x14ac:dyDescent="0.2">
      <c r="A33" s="31" t="s">
        <v>5</v>
      </c>
      <c r="B33" s="31" t="s">
        <v>6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s="26" customFormat="1" x14ac:dyDescent="0.2">
      <c r="A34" s="27" t="s">
        <v>80</v>
      </c>
      <c r="B34" s="27" t="s">
        <v>81</v>
      </c>
      <c r="C34" s="27">
        <f>100*LN(C4)</f>
        <v>867.22678927755067</v>
      </c>
      <c r="D34" s="27">
        <f>100*LN(D4)</f>
        <v>890.96276278891185</v>
      </c>
      <c r="E34" s="27">
        <f>100*LN(E4)</f>
        <v>909.36496445339094</v>
      </c>
      <c r="F34" s="27">
        <f>100*LN(F4)</f>
        <v>925.36371895939135</v>
      </c>
      <c r="G34" s="27">
        <f>100*LN(G4)</f>
        <v>941.5368179605689</v>
      </c>
      <c r="H34" s="27">
        <f>100*LN(H4)</f>
        <v>954.65445012312568</v>
      </c>
      <c r="I34" s="27">
        <f>100*LN(I4)</f>
        <v>951.45411561591629</v>
      </c>
      <c r="J34" s="27">
        <f>100*LN(J4)</f>
        <v>962.69252918445625</v>
      </c>
      <c r="K34" s="27">
        <f>100*LN(K4)</f>
        <v>971.40059166454603</v>
      </c>
      <c r="L34" s="27">
        <f>100*LN(L4)</f>
        <v>966.65556269940078</v>
      </c>
      <c r="M34" s="27">
        <f>100*LN(M4)</f>
        <v>983.81613532615665</v>
      </c>
      <c r="N34" s="27">
        <f>100*LN(N4)</f>
        <v>1016.4724209185122</v>
      </c>
      <c r="O34" s="27">
        <f>100*LN(O4)</f>
        <v>1016.8918818941196</v>
      </c>
      <c r="P34" s="27">
        <f>100*LN(P4)</f>
        <v>1036.4500826879303</v>
      </c>
      <c r="Q34" s="27">
        <f>100*LN(Q4)</f>
        <v>1050.5949704890777</v>
      </c>
      <c r="R34" s="27">
        <f>100*LN(R4)</f>
        <v>1056.2691762403153</v>
      </c>
      <c r="S34" s="27">
        <f>100*LN(S4)</f>
        <v>1061.7710380640383</v>
      </c>
      <c r="T34" s="27">
        <f>100*LN(T4)</f>
        <v>1063.2676962718233</v>
      </c>
      <c r="U34" s="27">
        <f>100*LN(U4)</f>
        <v>1074.4873142847596</v>
      </c>
      <c r="V34" s="27">
        <f>100*LN(V4)</f>
        <v>1077.536833085635</v>
      </c>
      <c r="W34" s="27">
        <f>100*LN(W4)</f>
        <v>1065.6556511740807</v>
      </c>
      <c r="X34" s="27">
        <f>100*LN(X4)</f>
        <v>1092.9525230799004</v>
      </c>
      <c r="Y34" s="27">
        <f>100*LN(Y4)</f>
        <v>1132.6522855075841</v>
      </c>
      <c r="Z34" s="27">
        <f>100*LN(Z4)</f>
        <v>1116.3171175107575</v>
      </c>
      <c r="AA34" s="27">
        <f>100*LN(AA4)</f>
        <v>1105.4774972914679</v>
      </c>
      <c r="AB34" s="30"/>
      <c r="AC34" s="30"/>
    </row>
    <row r="35" spans="1:29" s="26" customFormat="1" x14ac:dyDescent="0.2">
      <c r="A35" s="27" t="s">
        <v>82</v>
      </c>
      <c r="B35" s="27" t="s">
        <v>83</v>
      </c>
      <c r="C35" s="27">
        <f>100*LN(C5)</f>
        <v>917.10166419968505</v>
      </c>
      <c r="D35" s="27">
        <f>100*LN(D5)</f>
        <v>936.56076550271086</v>
      </c>
      <c r="E35" s="27">
        <f>100*LN(E5)</f>
        <v>957.13125893950371</v>
      </c>
      <c r="F35" s="27">
        <f>100*LN(F5)</f>
        <v>982.75998591561449</v>
      </c>
      <c r="G35" s="27">
        <f>100*LN(G5)</f>
        <v>1000.0410522004844</v>
      </c>
      <c r="H35" s="27">
        <f>100*LN(H5)</f>
        <v>1028.9093647998488</v>
      </c>
      <c r="I35" s="27">
        <f>100*LN(I5)</f>
        <v>1045.6100189841702</v>
      </c>
      <c r="J35" s="27">
        <f>100*LN(J5)</f>
        <v>1063.9746625398027</v>
      </c>
      <c r="K35" s="27">
        <f>100*LN(K5)</f>
        <v>1083.8570592878782</v>
      </c>
      <c r="L35" s="27">
        <f>100*LN(L5)</f>
        <v>1060.4679536713554</v>
      </c>
      <c r="M35" s="27">
        <f>100*LN(M5)</f>
        <v>1075.4854209916568</v>
      </c>
      <c r="N35" s="27">
        <f>100*LN(N5)</f>
        <v>1101.5643642126554</v>
      </c>
      <c r="O35" s="27">
        <f>100*LN(O5)</f>
        <v>1104.9067677052687</v>
      </c>
      <c r="P35" s="27">
        <f>100*LN(P5)</f>
        <v>1118.0674721295882</v>
      </c>
      <c r="Q35" s="27">
        <f>100*LN(Q5)</f>
        <v>1132.6909312354603</v>
      </c>
      <c r="R35" s="27">
        <f>100*LN(R5)</f>
        <v>1126.9253997851706</v>
      </c>
      <c r="S35" s="27">
        <f>100*LN(S5)</f>
        <v>1129.3927575741723</v>
      </c>
      <c r="T35" s="27">
        <f>100*LN(T5)</f>
        <v>1132.1961020917315</v>
      </c>
      <c r="U35" s="27">
        <f>100*LN(U5)</f>
        <v>1150.0282541668398</v>
      </c>
      <c r="V35" s="27">
        <f>100*LN(V5)</f>
        <v>1151.836400178252</v>
      </c>
      <c r="W35" s="27">
        <f>100*LN(W5)</f>
        <v>1144.2870675562256</v>
      </c>
      <c r="X35" s="27">
        <f>100*LN(X5)</f>
        <v>1175.4723937060521</v>
      </c>
      <c r="Y35" s="27">
        <f>100*LN(Y5)</f>
        <v>1208.1737013994132</v>
      </c>
      <c r="Z35" s="27">
        <f>100*LN(Z5)</f>
        <v>1192.5302993821824</v>
      </c>
      <c r="AA35" s="27">
        <f>100*LN(AA5)</f>
        <v>1199.0834687502518</v>
      </c>
      <c r="AB35" s="30"/>
      <c r="AC35" s="30"/>
    </row>
    <row r="36" spans="1:29" s="26" customFormat="1" x14ac:dyDescent="0.2">
      <c r="A36" s="27" t="s">
        <v>2</v>
      </c>
      <c r="B36" s="27" t="s">
        <v>3</v>
      </c>
      <c r="C36" s="27">
        <f>100*LN(C7)</f>
        <v>460.51701859880916</v>
      </c>
      <c r="D36" s="27">
        <f>100*LN(D7)</f>
        <v>467.12041502307818</v>
      </c>
      <c r="E36" s="27">
        <f>100*LN(E7)</f>
        <v>479.04425309389137</v>
      </c>
      <c r="F36" s="27">
        <f>100*LN(F7)</f>
        <v>494.35231968718432</v>
      </c>
      <c r="G36" s="27">
        <f>100*LN(G7)</f>
        <v>505.30933569559016</v>
      </c>
      <c r="H36" s="27">
        <f>100*LN(H7)</f>
        <v>516.14598520274569</v>
      </c>
      <c r="I36" s="27">
        <f>100*LN(I7)</f>
        <v>532.21515094554059</v>
      </c>
      <c r="J36" s="27">
        <f>100*LN(J7)</f>
        <v>550.39504418693491</v>
      </c>
      <c r="K36" s="27">
        <f>100*LN(K7)</f>
        <v>559.66617765370097</v>
      </c>
      <c r="L36" s="27">
        <f>100*LN(L7)</f>
        <v>542.67789096968966</v>
      </c>
      <c r="M36" s="27">
        <f>100*LN(M7)</f>
        <v>553.69100353818123</v>
      </c>
      <c r="N36" s="27">
        <f>100*LN(N7)</f>
        <v>566.90886668418909</v>
      </c>
      <c r="O36" s="27">
        <f>100*LN(O7)</f>
        <v>570.76340792394797</v>
      </c>
      <c r="P36" s="27">
        <f>100*LN(P7)</f>
        <v>575.09219416724</v>
      </c>
      <c r="Q36" s="27">
        <f>100*LN(Q7)</f>
        <v>572.12700545654286</v>
      </c>
      <c r="R36" s="27">
        <f>100*LN(R7)</f>
        <v>569.74004081079931</v>
      </c>
      <c r="S36" s="27">
        <f>100*LN(S7)</f>
        <v>575.1436616243451</v>
      </c>
      <c r="T36" s="27">
        <f>100*LN(T7)</f>
        <v>583.27281619084795</v>
      </c>
      <c r="U36" s="27">
        <f>100*LN(U7)</f>
        <v>589.44090572671939</v>
      </c>
      <c r="V36" s="27">
        <f>100*LN(V7)</f>
        <v>593.04526156857855</v>
      </c>
      <c r="W36" s="27">
        <f>100*LN(W7)</f>
        <v>587.66192370281021</v>
      </c>
      <c r="X36" s="27">
        <f>100*LN(X7)</f>
        <v>594.14105242422067</v>
      </c>
      <c r="Y36" s="27">
        <f>100*LN(Y7)</f>
        <v>598.17812139088687</v>
      </c>
      <c r="Z36" s="27"/>
      <c r="AA36" s="27"/>
      <c r="AB36" s="30"/>
      <c r="AC36" s="30"/>
    </row>
    <row r="37" spans="1:29" s="26" customFormat="1" x14ac:dyDescent="0.2">
      <c r="A37" s="27" t="s">
        <v>7</v>
      </c>
      <c r="B37" s="27" t="s">
        <v>8</v>
      </c>
      <c r="C37" s="27">
        <f>100*LN(C8)</f>
        <v>429.23754127212351</v>
      </c>
      <c r="D37" s="27">
        <f>100*LN(D8)</f>
        <v>432.84939927128443</v>
      </c>
      <c r="E37" s="27">
        <f>100*LN(E8)</f>
        <v>427.26302078944832</v>
      </c>
      <c r="F37" s="27">
        <f>100*LN(F8)</f>
        <v>421.75941107156672</v>
      </c>
      <c r="G37" s="27">
        <f>100*LN(G8)</f>
        <v>435.25978239830698</v>
      </c>
      <c r="H37" s="27">
        <f>100*LN(H8)</f>
        <v>437.28597468490642</v>
      </c>
      <c r="I37" s="27">
        <f>100*LN(I8)</f>
        <v>439.96209430748331</v>
      </c>
      <c r="J37" s="27">
        <f>100*LN(J8)</f>
        <v>447.42639161402923</v>
      </c>
      <c r="K37" s="27">
        <f>100*LN(K8)</f>
        <v>464.50637496497677</v>
      </c>
      <c r="L37" s="27">
        <f>100*LN(L8)</f>
        <v>466.99274332033696</v>
      </c>
      <c r="M37" s="27">
        <f>100*LN(M8)</f>
        <v>460.51701859880916</v>
      </c>
      <c r="N37" s="27">
        <f>100*LN(N8)</f>
        <v>465.35793251957784</v>
      </c>
      <c r="O37" s="27">
        <f>100*LN(O8)</f>
        <v>470.09348079724703</v>
      </c>
      <c r="P37" s="27">
        <f>100*LN(P8)</f>
        <v>467.01148746284736</v>
      </c>
      <c r="Q37" s="27">
        <f>100*LN(Q8)</f>
        <v>463.15199613108734</v>
      </c>
      <c r="R37" s="27">
        <f>100*LN(R8)</f>
        <v>459.63312373208868</v>
      </c>
      <c r="S37" s="27">
        <f>100*LN(S8)</f>
        <v>462.31083311191048</v>
      </c>
      <c r="T37" s="27">
        <f>100*LN(T8)</f>
        <v>472.68567042446909</v>
      </c>
      <c r="U37" s="27">
        <f>100*LN(U8)</f>
        <v>481.19404231843561</v>
      </c>
      <c r="V37" s="27">
        <f>100*LN(V8)</f>
        <v>483.30226330300354</v>
      </c>
      <c r="W37" s="27">
        <f>100*LN(W8)</f>
        <v>488.30291694911097</v>
      </c>
      <c r="X37" s="27">
        <f>100*LN(X8)</f>
        <v>485.51503912558604</v>
      </c>
      <c r="Y37" s="27">
        <f>100*LN(Y8)</f>
        <v>504.09058171145034</v>
      </c>
      <c r="Z37" s="27">
        <f>100*LN(Z8)</f>
        <v>515.490878325268</v>
      </c>
      <c r="AA37" s="27">
        <f>100*LN(AA8)</f>
        <v>519.42338130047142</v>
      </c>
      <c r="AB37" s="30"/>
      <c r="AC37" s="30"/>
    </row>
    <row r="38" spans="1:29" s="26" customFormat="1" x14ac:dyDescent="0.2">
      <c r="A38" s="27" t="s">
        <v>84</v>
      </c>
      <c r="B38" s="27" t="s">
        <v>85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>
        <f>100*LN(M10)</f>
        <v>1124.60121988418</v>
      </c>
      <c r="N38" s="27">
        <f>100*LN(N10)</f>
        <v>1141.1835812638844</v>
      </c>
      <c r="O38" s="27">
        <f>100*LN(O10)</f>
        <v>1147.9136552006705</v>
      </c>
      <c r="P38" s="27">
        <f>100*LN(P10)</f>
        <v>1158.3812522378635</v>
      </c>
      <c r="Q38" s="27">
        <f>100*LN(Q10)</f>
        <v>1171.0232928375283</v>
      </c>
      <c r="R38" s="27">
        <f>100*LN(R10)</f>
        <v>1175.0568516630674</v>
      </c>
      <c r="S38" s="27">
        <f>100*LN(S10)</f>
        <v>1182.168037236866</v>
      </c>
      <c r="T38" s="27">
        <f>100*LN(T10)</f>
        <v>1192.3140952140284</v>
      </c>
      <c r="U38" s="27">
        <f>100*LN(U10)</f>
        <v>1197.6833057332128</v>
      </c>
      <c r="V38" s="27">
        <f>100*LN(V10)</f>
        <v>1205.9889660814943</v>
      </c>
      <c r="W38" s="27">
        <f>100*LN(W10)</f>
        <v>1199.6748804356298</v>
      </c>
      <c r="X38" s="27">
        <f>100*LN(X10)</f>
        <v>1220.4080176882189</v>
      </c>
      <c r="Y38" s="27">
        <f>100*LN(Y10)</f>
        <v>1234.7006278395852</v>
      </c>
      <c r="Z38" s="27">
        <f>100*LN(Z10)</f>
        <v>1245.1656878667752</v>
      </c>
      <c r="AA38" s="27">
        <f>100*LN(AA10)</f>
        <v>1252.4842670056921</v>
      </c>
      <c r="AB38" s="30"/>
      <c r="AC38" s="30"/>
    </row>
    <row r="39" spans="1:29" s="26" customFormat="1" x14ac:dyDescent="0.2">
      <c r="A39" s="27" t="s">
        <v>86</v>
      </c>
      <c r="B39" s="27" t="s">
        <v>88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>
        <f>100*LN(M11)</f>
        <v>966.2300962812061</v>
      </c>
      <c r="N39" s="27">
        <f>100*LN(N11)</f>
        <v>970.2372846396571</v>
      </c>
      <c r="O39" s="27">
        <f>100*LN(O11)</f>
        <v>977.5926199038779</v>
      </c>
      <c r="P39" s="27">
        <f>100*LN(P11)</f>
        <v>981.44301585354606</v>
      </c>
      <c r="Q39" s="27">
        <f>100*LN(Q11)</f>
        <v>981.75754620187513</v>
      </c>
      <c r="R39" s="27">
        <f>100*LN(R11)</f>
        <v>990.86033942740528</v>
      </c>
      <c r="S39" s="27">
        <f>100*LN(S11)</f>
        <v>1003.718405028005</v>
      </c>
      <c r="T39" s="27">
        <f>100*LN(T11)</f>
        <v>1016.4731227839579</v>
      </c>
      <c r="U39" s="27">
        <f>100*LN(U11)</f>
        <v>1020.3604774536343</v>
      </c>
      <c r="V39" s="27">
        <f>100*LN(V11)</f>
        <v>1035.3724571962048</v>
      </c>
      <c r="W39" s="27">
        <f>100*LN(W11)</f>
        <v>1044.4142369169288</v>
      </c>
      <c r="X39" s="27">
        <f>100*LN(X11)</f>
        <v>1061.0978443463041</v>
      </c>
      <c r="Y39" s="27">
        <f>100*LN(Y11)</f>
        <v>1078.0197407039366</v>
      </c>
      <c r="Z39" s="27">
        <f>100*LN(Z11)</f>
        <v>1090.4637644137599</v>
      </c>
      <c r="AA39" s="27">
        <f>100*LN(AA11)</f>
        <v>1096.632961007321</v>
      </c>
      <c r="AB39" s="30"/>
      <c r="AC39" s="30"/>
    </row>
    <row r="40" spans="1:29" s="26" customFormat="1" x14ac:dyDescent="0.2">
      <c r="A40" s="27" t="s">
        <v>87</v>
      </c>
      <c r="B40" s="27" t="s">
        <v>89</v>
      </c>
      <c r="C40" s="27">
        <f>100*LN(C9)</f>
        <v>626.4183161115875</v>
      </c>
      <c r="D40" s="27">
        <f>100*LN(D9)</f>
        <v>609.73916859937958</v>
      </c>
      <c r="E40" s="27">
        <f>100*LN(E9)</f>
        <v>660.83953882928904</v>
      </c>
      <c r="F40" s="27">
        <f>100*LN(F9)</f>
        <v>672.22930763188026</v>
      </c>
      <c r="G40" s="27">
        <f>100*LN(G9)</f>
        <v>696.99994036912699</v>
      </c>
      <c r="H40" s="27">
        <f>100*LN(H9)</f>
        <v>734.00542042399059</v>
      </c>
      <c r="I40" s="27">
        <f>100*LN(I9)</f>
        <v>774.94522859540098</v>
      </c>
      <c r="J40" s="27">
        <f>100*LN(J9)</f>
        <v>789.23122760997671</v>
      </c>
      <c r="K40" s="27">
        <f>100*LN(K9)</f>
        <v>797.79912736083213</v>
      </c>
      <c r="L40" s="27">
        <f>100*LN(L9)</f>
        <v>760.79452144789786</v>
      </c>
      <c r="M40" s="27">
        <f>100*LN(M9)</f>
        <v>773.33666094537</v>
      </c>
      <c r="N40" s="27">
        <f>100*LN(N9)</f>
        <v>795.58161982140359</v>
      </c>
      <c r="O40" s="27">
        <f>100*LN(O9)</f>
        <v>820.65699643846131</v>
      </c>
      <c r="P40" s="27">
        <f>100*LN(P9)</f>
        <v>845.47842239519002</v>
      </c>
      <c r="Q40" s="27">
        <f>100*LN(Q9)</f>
        <v>874.23574054578557</v>
      </c>
      <c r="R40" s="27">
        <f>100*LN(R9)</f>
        <v>856.33205388932583</v>
      </c>
      <c r="S40" s="27">
        <f>100*LN(S9)</f>
        <v>818.52387342438476</v>
      </c>
      <c r="T40" s="27">
        <f>100*LN(T9)</f>
        <v>832.81128453777274</v>
      </c>
      <c r="U40" s="27">
        <f>100*LN(U9)</f>
        <v>841.56476118495152</v>
      </c>
      <c r="V40" s="27">
        <f>100*LN(V9)</f>
        <v>847.2865057566695</v>
      </c>
      <c r="W40" s="27">
        <f>100*LN(W9)</f>
        <v>861.36300090530221</v>
      </c>
      <c r="X40" s="27">
        <f>100*LN(X9)</f>
        <v>879.83339158245963</v>
      </c>
      <c r="Y40" s="27">
        <f>100*LN(Y9)</f>
        <v>893.42310758770168</v>
      </c>
      <c r="Z40" s="27">
        <f>100*LN(Z9)</f>
        <v>913.51964788261523</v>
      </c>
      <c r="AA40" s="27">
        <f>100*LN(AA9)</f>
        <v>901.84895556660808</v>
      </c>
      <c r="AB40" s="30"/>
      <c r="AC40" s="30"/>
    </row>
    <row r="41" spans="1:29" s="26" customFormat="1" x14ac:dyDescent="0.2">
      <c r="A41" s="31" t="s">
        <v>9</v>
      </c>
      <c r="B41" s="31" t="s">
        <v>10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spans="1:29" s="26" customFormat="1" x14ac:dyDescent="0.2">
      <c r="A42" s="33" t="s">
        <v>80</v>
      </c>
      <c r="B42" s="33" t="s">
        <v>81</v>
      </c>
      <c r="C42" s="33" t="e">
        <f t="array" aca="1" ref="C42" ca="1">[11]!HP(C4:AA4,100)</f>
        <v>#NAME?</v>
      </c>
      <c r="D42" s="33" t="e">
        <f t="array" aca="1" ref="D42" ca="1">[11]!HP(D4:AA4,100)</f>
        <v>#NAME?</v>
      </c>
      <c r="E42" s="33" t="e">
        <f t="array" aca="1" ref="E42" ca="1">[11]!HP(E4:AA4,100)</f>
        <v>#NAME?</v>
      </c>
      <c r="F42" s="33" t="e">
        <f ca="1">[11]!HP(F4:AA4,100)</f>
        <v>#NAME?</v>
      </c>
      <c r="G42" s="33" t="e">
        <f t="array" aca="1" ref="G42" ca="1">[11]!HP(G4:AE4,100)</f>
        <v>#NAME?</v>
      </c>
      <c r="H42" s="33" t="e">
        <f t="array" aca="1" ref="H42" ca="1">[11]!HP(H4:AF4,100)</f>
        <v>#NAME?</v>
      </c>
      <c r="I42" s="33" t="e">
        <f t="array" aca="1" ref="I42" ca="1">[11]!HP(I4:AG4,100)</f>
        <v>#NAME?</v>
      </c>
      <c r="J42" s="33" t="e">
        <f t="array" aca="1" ref="J42" ca="1">[11]!HP(J4:AH4,100)</f>
        <v>#NAME?</v>
      </c>
      <c r="K42" s="33" t="e">
        <f t="array" aca="1" ref="K42" ca="1">[11]!HP(K4:AI4,100)</f>
        <v>#NAME?</v>
      </c>
      <c r="L42" s="33" t="e">
        <f t="array" aca="1" ref="L42" ca="1">[11]!HP(L4:AJ4,100)</f>
        <v>#NAME?</v>
      </c>
      <c r="M42" s="33" t="e">
        <f t="array" aca="1" ref="M42" ca="1">[11]!HP(M4:AK4,100)</f>
        <v>#NAME?</v>
      </c>
      <c r="N42" s="33" t="e">
        <f t="array" aca="1" ref="N42" ca="1">[11]!HP(N4:AL4,100)</f>
        <v>#NAME?</v>
      </c>
      <c r="O42" s="33" t="e">
        <f t="array" aca="1" ref="O42" ca="1">[11]!HP(O4:AM4,100)</f>
        <v>#NAME?</v>
      </c>
      <c r="P42" s="33" t="e">
        <f t="array" aca="1" ref="P42" ca="1">[11]!HP(P4:AN4,100)</f>
        <v>#NAME?</v>
      </c>
      <c r="Q42" s="33" t="e">
        <f t="array" aca="1" ref="Q42" ca="1">[11]!HP(Q4:AO4,100)</f>
        <v>#NAME?</v>
      </c>
      <c r="R42" s="33" t="e">
        <f t="array" aca="1" ref="R42" ca="1">[11]!HP(R4:AP4,100)</f>
        <v>#NAME?</v>
      </c>
      <c r="S42" s="33" t="e">
        <f t="array" aca="1" ref="S42" ca="1">[11]!HP(S4:AQ4,100)</f>
        <v>#NAME?</v>
      </c>
      <c r="T42" s="33" t="e">
        <f t="array" aca="1" ref="T42" ca="1">[11]!HP(T4:AR4,100)</f>
        <v>#NAME?</v>
      </c>
      <c r="U42" s="33" t="e">
        <f t="array" aca="1" ref="U42" ca="1">[11]!HP(U4:AS4,100)</f>
        <v>#NAME?</v>
      </c>
      <c r="V42" s="33" t="e">
        <f t="array" aca="1" ref="V42" ca="1">[11]!HP(V4:AT4,100)</f>
        <v>#NAME?</v>
      </c>
      <c r="W42" s="33" t="e">
        <f t="array" aca="1" ref="W42" ca="1">[11]!HP(W4:AU4,100)</f>
        <v>#NAME?</v>
      </c>
      <c r="X42" s="33" t="e">
        <f t="array" aca="1" ref="X42" ca="1">[11]!HP(X4:AV4,100)</f>
        <v>#NAME?</v>
      </c>
      <c r="Y42" s="33" t="e">
        <f t="array" aca="1" ref="Y42" ca="1">[11]!HP(Y4:AW4,100)</f>
        <v>#NAME?</v>
      </c>
      <c r="Z42" s="33" t="e">
        <f t="array" aca="1" ref="Z42" ca="1">[11]!HP(Z4:AX4,100)</f>
        <v>#NAME?</v>
      </c>
      <c r="AA42" s="33" t="e">
        <f t="array" aca="1" ref="AA42" ca="1">[11]!HP(AA4:AY4,100)</f>
        <v>#NAME?</v>
      </c>
      <c r="AB42" s="30"/>
      <c r="AC42" s="30"/>
    </row>
    <row r="43" spans="1:29" s="26" customFormat="1" x14ac:dyDescent="0.2">
      <c r="A43" s="33" t="s">
        <v>82</v>
      </c>
      <c r="B43" s="33" t="s">
        <v>83</v>
      </c>
      <c r="C43" s="33">
        <v>829.2986101442126</v>
      </c>
      <c r="D43" s="33">
        <v>840.90781539391355</v>
      </c>
      <c r="E43" s="33">
        <v>852.5088594247834</v>
      </c>
      <c r="F43" s="33">
        <v>863.99592434283886</v>
      </c>
      <c r="G43" s="33">
        <v>875.18977329187487</v>
      </c>
      <c r="H43" s="33">
        <v>885.91839764283031</v>
      </c>
      <c r="I43" s="33">
        <v>895.99863674260007</v>
      </c>
      <c r="J43" s="33">
        <v>905.28835633658491</v>
      </c>
      <c r="K43" s="33">
        <v>913.77612483876544</v>
      </c>
      <c r="L43" s="33">
        <v>921.62304535509668</v>
      </c>
      <c r="M43" s="33">
        <v>929.10955781617338</v>
      </c>
      <c r="N43" s="33">
        <v>936.34288394306043</v>
      </c>
      <c r="O43" s="33">
        <v>943.3181440519536</v>
      </c>
      <c r="P43" s="33">
        <v>950.00684441584008</v>
      </c>
      <c r="Q43" s="33">
        <v>956.39041139271581</v>
      </c>
      <c r="R43" s="33">
        <v>962.41263961312143</v>
      </c>
      <c r="S43" s="33">
        <v>968.0496004306184</v>
      </c>
      <c r="T43" s="33">
        <v>973.32289463837265</v>
      </c>
      <c r="U43" s="33">
        <v>978.25996552351319</v>
      </c>
      <c r="V43" s="33">
        <v>982.91079772721446</v>
      </c>
      <c r="W43" s="33">
        <v>987.37940257144453</v>
      </c>
      <c r="X43" s="33">
        <v>991.81949909062973</v>
      </c>
      <c r="Y43" s="33">
        <v>996.27270007868742</v>
      </c>
      <c r="Z43" s="33"/>
      <c r="AA43" s="33"/>
      <c r="AB43" s="30"/>
      <c r="AC43" s="30"/>
    </row>
    <row r="44" spans="1:29" s="26" customFormat="1" x14ac:dyDescent="0.2">
      <c r="A44" s="33" t="s">
        <v>2</v>
      </c>
      <c r="B44" s="33" t="s">
        <v>3</v>
      </c>
      <c r="C44" s="33">
        <v>462.81366288616715</v>
      </c>
      <c r="D44" s="33">
        <v>473.99327555362038</v>
      </c>
      <c r="E44" s="33">
        <v>485.1499217782</v>
      </c>
      <c r="F44" s="33">
        <v>496.19190651172698</v>
      </c>
      <c r="G44" s="33">
        <v>506.96647801917919</v>
      </c>
      <c r="H44" s="33">
        <v>517.30248869728894</v>
      </c>
      <c r="I44" s="33">
        <v>527.01221951955245</v>
      </c>
      <c r="J44" s="33">
        <v>535.89638642452041</v>
      </c>
      <c r="K44" s="33">
        <v>543.80773466500364</v>
      </c>
      <c r="L44" s="33">
        <v>550.74399607143698</v>
      </c>
      <c r="M44" s="33">
        <v>556.86148690414223</v>
      </c>
      <c r="N44" s="33">
        <v>562.23586237242364</v>
      </c>
      <c r="O44" s="33">
        <v>566.91107285192584</v>
      </c>
      <c r="P44" s="33">
        <v>570.9777987614109</v>
      </c>
      <c r="Q44" s="33">
        <v>574.56524387036131</v>
      </c>
      <c r="R44" s="33">
        <v>577.84375590231787</v>
      </c>
      <c r="S44" s="33">
        <v>580.9593001966831</v>
      </c>
      <c r="T44" s="33">
        <v>583.97680494194435</v>
      </c>
      <c r="U44" s="33">
        <v>586.90304194086548</v>
      </c>
      <c r="V44" s="33">
        <v>589.73774310869919</v>
      </c>
      <c r="W44" s="33">
        <v>592.5060189985569</v>
      </c>
      <c r="X44" s="33">
        <v>595.2660553481486</v>
      </c>
      <c r="Y44" s="33">
        <v>598.02759694222686</v>
      </c>
      <c r="Z44" s="33"/>
      <c r="AA44" s="33"/>
      <c r="AB44" s="30"/>
      <c r="AC44" s="30"/>
    </row>
    <row r="45" spans="1:29" s="26" customFormat="1" x14ac:dyDescent="0.2">
      <c r="A45" s="33" t="s">
        <v>7</v>
      </c>
      <c r="B45" s="33" t="s">
        <v>8</v>
      </c>
      <c r="C45" s="33">
        <v>464.46810640412912</v>
      </c>
      <c r="D45" s="33">
        <v>465.06922749744245</v>
      </c>
      <c r="E45" s="33">
        <v>465.73158761580271</v>
      </c>
      <c r="F45" s="33">
        <v>466.56893743554184</v>
      </c>
      <c r="G45" s="33">
        <v>467.67438060988121</v>
      </c>
      <c r="H45" s="33">
        <v>469.04591015890514</v>
      </c>
      <c r="I45" s="33">
        <v>470.62581883174335</v>
      </c>
      <c r="J45" s="33">
        <v>472.3237029120437</v>
      </c>
      <c r="K45" s="33">
        <v>474.03608155844756</v>
      </c>
      <c r="L45" s="33">
        <v>475.64306074019038</v>
      </c>
      <c r="M45" s="33">
        <v>477.07187735370513</v>
      </c>
      <c r="N45" s="33">
        <v>478.2799957500564</v>
      </c>
      <c r="O45" s="33">
        <v>479.19386258571728</v>
      </c>
      <c r="P45" s="33">
        <v>479.78943031823206</v>
      </c>
      <c r="Q45" s="33">
        <v>480.1019614878727</v>
      </c>
      <c r="R45" s="33">
        <v>480.18019534830086</v>
      </c>
      <c r="S45" s="33">
        <v>480.10256240020152</v>
      </c>
      <c r="T45" s="33">
        <v>479.92900756214823</v>
      </c>
      <c r="U45" s="33">
        <v>479.73469128478035</v>
      </c>
      <c r="V45" s="33">
        <v>479.58962022861647</v>
      </c>
      <c r="W45" s="33">
        <v>479.57047518606061</v>
      </c>
      <c r="X45" s="33">
        <v>479.70644510130461</v>
      </c>
      <c r="Y45" s="33">
        <v>479.95040549675775</v>
      </c>
      <c r="Z45" s="33"/>
      <c r="AA45" s="33"/>
      <c r="AB45" s="30"/>
      <c r="AC45" s="30"/>
    </row>
    <row r="46" spans="1:29" s="26" customFormat="1" x14ac:dyDescent="0.2">
      <c r="A46" s="33" t="s">
        <v>84</v>
      </c>
      <c r="B46" s="33" t="s">
        <v>85</v>
      </c>
      <c r="C46" s="33">
        <v>932.35777420256773</v>
      </c>
      <c r="D46" s="33">
        <v>938.68179225915196</v>
      </c>
      <c r="E46" s="33">
        <v>945.07423574485699</v>
      </c>
      <c r="F46" s="33">
        <v>951.56434051760061</v>
      </c>
      <c r="G46" s="33">
        <v>958.13747820572178</v>
      </c>
      <c r="H46" s="33">
        <v>964.75652777221387</v>
      </c>
      <c r="I46" s="33">
        <v>971.31338349834084</v>
      </c>
      <c r="J46" s="33">
        <v>977.60086742721694</v>
      </c>
      <c r="K46" s="33">
        <v>983.48851802926595</v>
      </c>
      <c r="L46" s="33">
        <v>988.91001976473365</v>
      </c>
      <c r="M46" s="33">
        <v>993.89637247157998</v>
      </c>
      <c r="N46" s="33">
        <v>998.53162458604095</v>
      </c>
      <c r="O46" s="33">
        <v>1002.8800346959666</v>
      </c>
      <c r="P46" s="33">
        <v>1007.0255011472751</v>
      </c>
      <c r="Q46" s="33">
        <v>1011.0689854057372</v>
      </c>
      <c r="R46" s="33">
        <v>1015.1121685460226</v>
      </c>
      <c r="S46" s="33">
        <v>1019.2726328917943</v>
      </c>
      <c r="T46" s="33">
        <v>1023.6806233777946</v>
      </c>
      <c r="U46" s="33">
        <v>1028.379221325665</v>
      </c>
      <c r="V46" s="33">
        <v>1033.3515316226515</v>
      </c>
      <c r="W46" s="33">
        <v>1038.5301832844198</v>
      </c>
      <c r="X46" s="33">
        <v>1043.8172614860421</v>
      </c>
      <c r="Y46" s="33">
        <v>1049.1166015123738</v>
      </c>
      <c r="Z46" s="33"/>
      <c r="AA46" s="33"/>
      <c r="AB46" s="30"/>
      <c r="AC46" s="30"/>
    </row>
    <row r="47" spans="1:29" s="26" customFormat="1" x14ac:dyDescent="0.2">
      <c r="A47" s="33" t="s">
        <v>86</v>
      </c>
      <c r="B47" s="33" t="s">
        <v>88</v>
      </c>
      <c r="C47" s="33">
        <v>684.55871456411455</v>
      </c>
      <c r="D47" s="33">
        <v>702.68454336913567</v>
      </c>
      <c r="E47" s="33">
        <v>720.77384265757632</v>
      </c>
      <c r="F47" s="33">
        <v>738.74093332950906</v>
      </c>
      <c r="G47" s="33">
        <v>756.33833719203506</v>
      </c>
      <c r="H47" s="33">
        <v>773.07943480664278</v>
      </c>
      <c r="I47" s="33">
        <v>788.48183494621776</v>
      </c>
      <c r="J47" s="33">
        <v>802.20226258306627</v>
      </c>
      <c r="K47" s="33">
        <v>813.8508706402539</v>
      </c>
      <c r="L47" s="33">
        <v>823.32722986311205</v>
      </c>
      <c r="M47" s="33">
        <v>830.89566856544945</v>
      </c>
      <c r="N47" s="33">
        <v>836.99697660418246</v>
      </c>
      <c r="O47" s="33">
        <v>842.08421411867948</v>
      </c>
      <c r="P47" s="33">
        <v>846.52827666627172</v>
      </c>
      <c r="Q47" s="33">
        <v>850.59947096870224</v>
      </c>
      <c r="R47" s="33">
        <v>854.46043210264349</v>
      </c>
      <c r="S47" s="33">
        <v>858.2118636375003</v>
      </c>
      <c r="T47" s="33">
        <v>861.89649570748463</v>
      </c>
      <c r="U47" s="33">
        <v>865.56480708933884</v>
      </c>
      <c r="V47" s="33">
        <v>869.24888960308056</v>
      </c>
      <c r="W47" s="33">
        <v>872.94177293312816</v>
      </c>
      <c r="X47" s="33">
        <v>876.61622706138508</v>
      </c>
      <c r="Y47" s="33">
        <v>880.25658077844116</v>
      </c>
      <c r="Z47" s="33"/>
      <c r="AA47" s="33"/>
      <c r="AB47" s="30"/>
      <c r="AC47" s="30"/>
    </row>
    <row r="48" spans="1:29" s="26" customFormat="1" x14ac:dyDescent="0.2">
      <c r="A48" s="33" t="s">
        <v>87</v>
      </c>
      <c r="B48" s="33" t="s">
        <v>89</v>
      </c>
      <c r="C48" s="33">
        <v>836.5239755546794</v>
      </c>
      <c r="D48" s="33">
        <v>842.47392150412031</v>
      </c>
      <c r="E48" s="33">
        <v>848.28986877802981</v>
      </c>
      <c r="F48" s="33">
        <v>853.82310378936711</v>
      </c>
      <c r="G48" s="33">
        <v>858.84321011147676</v>
      </c>
      <c r="H48" s="33">
        <v>863.18195691317521</v>
      </c>
      <c r="I48" s="33">
        <v>866.75802317453383</v>
      </c>
      <c r="J48" s="33">
        <v>869.67347372124891</v>
      </c>
      <c r="K48" s="33">
        <v>872.18626416090422</v>
      </c>
      <c r="L48" s="33">
        <v>874.83764983766434</v>
      </c>
      <c r="M48" s="33">
        <v>878.23998257465416</v>
      </c>
      <c r="N48" s="33">
        <v>882.32345216751048</v>
      </c>
      <c r="O48" s="33">
        <v>886.86778018300959</v>
      </c>
      <c r="P48" s="33">
        <v>891.59497460804221</v>
      </c>
      <c r="Q48" s="33">
        <v>896.2689918309693</v>
      </c>
      <c r="R48" s="33">
        <v>900.49158887042358</v>
      </c>
      <c r="S48" s="33">
        <v>903.92565083084571</v>
      </c>
      <c r="T48" s="33">
        <v>906.32554562680252</v>
      </c>
      <c r="U48" s="33">
        <v>907.62754627515983</v>
      </c>
      <c r="V48" s="33">
        <v>907.90209769321984</v>
      </c>
      <c r="W48" s="33">
        <v>907.40415564298974</v>
      </c>
      <c r="X48" s="33">
        <v>906.50957113843617</v>
      </c>
      <c r="Y48" s="33">
        <v>905.55536651285843</v>
      </c>
      <c r="Z48" s="33"/>
      <c r="AA48" s="33"/>
      <c r="AB48" s="30"/>
      <c r="AC48" s="30"/>
    </row>
    <row r="49" spans="1:35" s="26" customFormat="1" x14ac:dyDescent="0.2">
      <c r="A49" s="31" t="s">
        <v>11</v>
      </c>
      <c r="B49" s="31" t="s">
        <v>12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1:35" s="26" customFormat="1" x14ac:dyDescent="0.2">
      <c r="A50" s="27" t="s">
        <v>13</v>
      </c>
      <c r="B50" s="27" t="s">
        <v>14</v>
      </c>
      <c r="C50" s="34" t="e">
        <f ca="1">C34-C42</f>
        <v>#NAME?</v>
      </c>
      <c r="D50" s="34" t="e">
        <f t="shared" ref="D50:AA50" ca="1" si="0">D34-D42</f>
        <v>#NAME?</v>
      </c>
      <c r="E50" s="34" t="e">
        <f t="shared" ca="1" si="0"/>
        <v>#NAME?</v>
      </c>
      <c r="F50" s="34" t="e">
        <f t="shared" ca="1" si="0"/>
        <v>#NAME?</v>
      </c>
      <c r="G50" s="34" t="e">
        <f t="shared" ca="1" si="0"/>
        <v>#NAME?</v>
      </c>
      <c r="H50" s="34" t="e">
        <f t="shared" ca="1" si="0"/>
        <v>#NAME?</v>
      </c>
      <c r="I50" s="34" t="e">
        <f t="shared" ca="1" si="0"/>
        <v>#NAME?</v>
      </c>
      <c r="J50" s="34" t="e">
        <f t="shared" ca="1" si="0"/>
        <v>#NAME?</v>
      </c>
      <c r="K50" s="34" t="e">
        <f t="shared" ca="1" si="0"/>
        <v>#NAME?</v>
      </c>
      <c r="L50" s="34" t="e">
        <f t="shared" ca="1" si="0"/>
        <v>#NAME?</v>
      </c>
      <c r="M50" s="34" t="e">
        <f t="shared" ca="1" si="0"/>
        <v>#NAME?</v>
      </c>
      <c r="N50" s="34" t="e">
        <f t="shared" ca="1" si="0"/>
        <v>#NAME?</v>
      </c>
      <c r="O50" s="34" t="e">
        <f t="shared" ca="1" si="0"/>
        <v>#NAME?</v>
      </c>
      <c r="P50" s="34" t="e">
        <f t="shared" ca="1" si="0"/>
        <v>#NAME?</v>
      </c>
      <c r="Q50" s="34" t="e">
        <f t="shared" ca="1" si="0"/>
        <v>#NAME?</v>
      </c>
      <c r="R50" s="34" t="e">
        <f t="shared" ca="1" si="0"/>
        <v>#NAME?</v>
      </c>
      <c r="S50" s="34" t="e">
        <f t="shared" ca="1" si="0"/>
        <v>#NAME?</v>
      </c>
      <c r="T50" s="34" t="e">
        <f t="shared" ca="1" si="0"/>
        <v>#NAME?</v>
      </c>
      <c r="U50" s="34" t="e">
        <f t="shared" ca="1" si="0"/>
        <v>#NAME?</v>
      </c>
      <c r="V50" s="34" t="e">
        <f t="shared" ca="1" si="0"/>
        <v>#NAME?</v>
      </c>
      <c r="W50" s="34" t="e">
        <f t="shared" ca="1" si="0"/>
        <v>#NAME?</v>
      </c>
      <c r="X50" s="34" t="e">
        <f t="shared" ca="1" si="0"/>
        <v>#NAME?</v>
      </c>
      <c r="Y50" s="34" t="e">
        <f t="shared" ca="1" si="0"/>
        <v>#NAME?</v>
      </c>
      <c r="Z50" s="34" t="e">
        <f t="shared" ca="1" si="0"/>
        <v>#NAME?</v>
      </c>
      <c r="AA50" s="34" t="e">
        <f t="shared" ca="1" si="0"/>
        <v>#NAME?</v>
      </c>
      <c r="AB50" s="35"/>
      <c r="AC50" s="35"/>
    </row>
    <row r="51" spans="1:35" s="26" customFormat="1" x14ac:dyDescent="0.2">
      <c r="A51" s="27" t="s">
        <v>15</v>
      </c>
      <c r="B51" s="27" t="s">
        <v>16</v>
      </c>
      <c r="C51" s="34">
        <f t="shared" ref="C51:AA51" si="1">C35-C43</f>
        <v>87.803054055472444</v>
      </c>
      <c r="D51" s="34">
        <f t="shared" si="1"/>
        <v>95.652950108797313</v>
      </c>
      <c r="E51" s="34">
        <f t="shared" si="1"/>
        <v>104.62239951472031</v>
      </c>
      <c r="F51" s="34">
        <f t="shared" si="1"/>
        <v>118.76406157277563</v>
      </c>
      <c r="G51" s="34">
        <f t="shared" si="1"/>
        <v>124.85127890860952</v>
      </c>
      <c r="H51" s="34">
        <f t="shared" si="1"/>
        <v>142.99096715701853</v>
      </c>
      <c r="I51" s="34">
        <f t="shared" si="1"/>
        <v>149.61138224157014</v>
      </c>
      <c r="J51" s="34">
        <f t="shared" si="1"/>
        <v>158.68630620321778</v>
      </c>
      <c r="K51" s="34">
        <f t="shared" si="1"/>
        <v>170.08093444911276</v>
      </c>
      <c r="L51" s="34">
        <f t="shared" si="1"/>
        <v>138.84490831625874</v>
      </c>
      <c r="M51" s="34">
        <f t="shared" si="1"/>
        <v>146.37586317548346</v>
      </c>
      <c r="N51" s="34">
        <f t="shared" si="1"/>
        <v>165.22148026959496</v>
      </c>
      <c r="O51" s="34">
        <f t="shared" si="1"/>
        <v>161.58862365331515</v>
      </c>
      <c r="P51" s="34">
        <f t="shared" si="1"/>
        <v>168.06062771374809</v>
      </c>
      <c r="Q51" s="34">
        <f t="shared" si="1"/>
        <v>176.30051984274451</v>
      </c>
      <c r="R51" s="34">
        <f t="shared" si="1"/>
        <v>164.51276017204918</v>
      </c>
      <c r="S51" s="34">
        <f t="shared" si="1"/>
        <v>161.34315714355387</v>
      </c>
      <c r="T51" s="34">
        <f t="shared" si="1"/>
        <v>158.87320745335887</v>
      </c>
      <c r="U51" s="34">
        <f t="shared" si="1"/>
        <v>171.76828864332663</v>
      </c>
      <c r="V51" s="34">
        <f t="shared" si="1"/>
        <v>168.92560245103755</v>
      </c>
      <c r="W51" s="34">
        <f t="shared" si="1"/>
        <v>156.90766498478104</v>
      </c>
      <c r="X51" s="34">
        <f t="shared" si="1"/>
        <v>183.65289461542238</v>
      </c>
      <c r="Y51" s="34">
        <f t="shared" si="1"/>
        <v>211.90100132072575</v>
      </c>
      <c r="Z51" s="34">
        <f t="shared" si="1"/>
        <v>1192.5302993821824</v>
      </c>
      <c r="AA51" s="34">
        <f t="shared" si="1"/>
        <v>1199.0834687502518</v>
      </c>
      <c r="AB51" s="35"/>
      <c r="AC51" s="35"/>
    </row>
    <row r="52" spans="1:35" s="26" customFormat="1" x14ac:dyDescent="0.2">
      <c r="A52" s="27" t="s">
        <v>17</v>
      </c>
      <c r="B52" s="27" t="s">
        <v>18</v>
      </c>
      <c r="C52" s="34">
        <f t="shared" ref="C52:AA52" si="2">C36-C44</f>
        <v>-2.2966442873579922</v>
      </c>
      <c r="D52" s="34">
        <f t="shared" si="2"/>
        <v>-6.8728605305421979</v>
      </c>
      <c r="E52" s="34">
        <f t="shared" si="2"/>
        <v>-6.1056686843086254</v>
      </c>
      <c r="F52" s="34">
        <f t="shared" si="2"/>
        <v>-1.8395868245426641</v>
      </c>
      <c r="G52" s="34">
        <f t="shared" si="2"/>
        <v>-1.6571423235890279</v>
      </c>
      <c r="H52" s="34">
        <f t="shared" si="2"/>
        <v>-1.1565034945432444</v>
      </c>
      <c r="I52" s="34">
        <f t="shared" si="2"/>
        <v>5.2029314259881403</v>
      </c>
      <c r="J52" s="34">
        <f t="shared" si="2"/>
        <v>14.498657762414496</v>
      </c>
      <c r="K52" s="34">
        <f t="shared" si="2"/>
        <v>15.858442988697334</v>
      </c>
      <c r="L52" s="34">
        <f t="shared" si="2"/>
        <v>-8.0661051017473255</v>
      </c>
      <c r="M52" s="34">
        <f t="shared" si="2"/>
        <v>-3.1704833659609903</v>
      </c>
      <c r="N52" s="34">
        <f t="shared" si="2"/>
        <v>4.6730043117654532</v>
      </c>
      <c r="O52" s="34">
        <f t="shared" si="2"/>
        <v>3.8523350720221288</v>
      </c>
      <c r="P52" s="34">
        <f t="shared" si="2"/>
        <v>4.1143954058291001</v>
      </c>
      <c r="Q52" s="34">
        <f t="shared" si="2"/>
        <v>-2.4382384138184534</v>
      </c>
      <c r="R52" s="34">
        <f t="shared" si="2"/>
        <v>-8.1037150915185521</v>
      </c>
      <c r="S52" s="34">
        <f t="shared" si="2"/>
        <v>-5.8156385723380026</v>
      </c>
      <c r="T52" s="34">
        <f t="shared" si="2"/>
        <v>-0.70398875109640358</v>
      </c>
      <c r="U52" s="34">
        <f t="shared" si="2"/>
        <v>2.537863785853915</v>
      </c>
      <c r="V52" s="34">
        <f t="shared" si="2"/>
        <v>3.3075184598793612</v>
      </c>
      <c r="W52" s="34">
        <f t="shared" si="2"/>
        <v>-4.8440952957466834</v>
      </c>
      <c r="X52" s="34">
        <f t="shared" si="2"/>
        <v>-1.1250029239279229</v>
      </c>
      <c r="Y52" s="34">
        <f t="shared" si="2"/>
        <v>0.15052444866000769</v>
      </c>
      <c r="Z52" s="34">
        <f t="shared" si="2"/>
        <v>0</v>
      </c>
      <c r="AA52" s="34">
        <f t="shared" si="2"/>
        <v>0</v>
      </c>
      <c r="AB52" s="35"/>
      <c r="AC52" s="35"/>
    </row>
    <row r="53" spans="1:35" s="26" customFormat="1" x14ac:dyDescent="0.2">
      <c r="A53" s="27" t="s">
        <v>19</v>
      </c>
      <c r="B53" s="27" t="s">
        <v>20</v>
      </c>
      <c r="C53" s="34">
        <f t="shared" ref="C53:AA53" si="3">C37-C45</f>
        <v>-35.230565132005609</v>
      </c>
      <c r="D53" s="34">
        <f t="shared" si="3"/>
        <v>-32.219828226158029</v>
      </c>
      <c r="E53" s="34">
        <f t="shared" si="3"/>
        <v>-38.46856682635439</v>
      </c>
      <c r="F53" s="34">
        <f t="shared" si="3"/>
        <v>-44.809526363975124</v>
      </c>
      <c r="G53" s="34">
        <f t="shared" si="3"/>
        <v>-32.41459821157423</v>
      </c>
      <c r="H53" s="34">
        <f t="shared" si="3"/>
        <v>-31.759935473998723</v>
      </c>
      <c r="I53" s="34">
        <f t="shared" si="3"/>
        <v>-30.663724524260033</v>
      </c>
      <c r="J53" s="34">
        <f t="shared" si="3"/>
        <v>-24.897311298014472</v>
      </c>
      <c r="K53" s="34">
        <f t="shared" si="3"/>
        <v>-9.5297065934707916</v>
      </c>
      <c r="L53" s="34">
        <f t="shared" si="3"/>
        <v>-8.6503174198534225</v>
      </c>
      <c r="M53" s="34">
        <f t="shared" si="3"/>
        <v>-16.554858754895974</v>
      </c>
      <c r="N53" s="34">
        <f t="shared" si="3"/>
        <v>-12.922063230478557</v>
      </c>
      <c r="O53" s="34">
        <f t="shared" si="3"/>
        <v>-9.1003817884702585</v>
      </c>
      <c r="P53" s="34">
        <f t="shared" si="3"/>
        <v>-12.777942855384708</v>
      </c>
      <c r="Q53" s="34">
        <f t="shared" si="3"/>
        <v>-16.949965356785356</v>
      </c>
      <c r="R53" s="34">
        <f t="shared" si="3"/>
        <v>-20.547071616212179</v>
      </c>
      <c r="S53" s="34">
        <f t="shared" si="3"/>
        <v>-17.791729288291037</v>
      </c>
      <c r="T53" s="34">
        <f t="shared" si="3"/>
        <v>-7.2433371376791342</v>
      </c>
      <c r="U53" s="34">
        <f t="shared" si="3"/>
        <v>1.4593510336552526</v>
      </c>
      <c r="V53" s="34">
        <f t="shared" si="3"/>
        <v>3.7126430743870742</v>
      </c>
      <c r="W53" s="34">
        <f t="shared" si="3"/>
        <v>8.7324417630503604</v>
      </c>
      <c r="X53" s="34">
        <f t="shared" si="3"/>
        <v>5.8085940242814331</v>
      </c>
      <c r="Y53" s="34">
        <f t="shared" si="3"/>
        <v>24.140176214692588</v>
      </c>
      <c r="Z53" s="34">
        <f t="shared" si="3"/>
        <v>515.490878325268</v>
      </c>
      <c r="AA53" s="34">
        <f t="shared" si="3"/>
        <v>519.42338130047142</v>
      </c>
      <c r="AB53" s="35"/>
      <c r="AC53" s="35"/>
    </row>
    <row r="54" spans="1:35" s="26" customFormat="1" x14ac:dyDescent="0.2">
      <c r="A54" s="27" t="s">
        <v>21</v>
      </c>
      <c r="B54" s="27" t="s">
        <v>22</v>
      </c>
      <c r="C54" s="34">
        <f t="shared" ref="C54:AA54" si="4">C38-C46</f>
        <v>-932.35777420256773</v>
      </c>
      <c r="D54" s="34">
        <f t="shared" si="4"/>
        <v>-938.68179225915196</v>
      </c>
      <c r="E54" s="34">
        <f t="shared" si="4"/>
        <v>-945.07423574485699</v>
      </c>
      <c r="F54" s="34">
        <f t="shared" si="4"/>
        <v>-951.56434051760061</v>
      </c>
      <c r="G54" s="34">
        <f t="shared" si="4"/>
        <v>-958.13747820572178</v>
      </c>
      <c r="H54" s="34">
        <f t="shared" si="4"/>
        <v>-964.75652777221387</v>
      </c>
      <c r="I54" s="34">
        <f t="shared" si="4"/>
        <v>-971.31338349834084</v>
      </c>
      <c r="J54" s="34">
        <f t="shared" si="4"/>
        <v>-977.60086742721694</v>
      </c>
      <c r="K54" s="34">
        <f t="shared" si="4"/>
        <v>-983.48851802926595</v>
      </c>
      <c r="L54" s="34">
        <f t="shared" si="4"/>
        <v>-988.91001976473365</v>
      </c>
      <c r="M54" s="34">
        <f t="shared" si="4"/>
        <v>130.70484741259997</v>
      </c>
      <c r="N54" s="34">
        <f t="shared" si="4"/>
        <v>142.65195667784349</v>
      </c>
      <c r="O54" s="34">
        <f t="shared" si="4"/>
        <v>145.03362050470389</v>
      </c>
      <c r="P54" s="34">
        <f t="shared" si="4"/>
        <v>151.35575109058834</v>
      </c>
      <c r="Q54" s="34">
        <f t="shared" si="4"/>
        <v>159.95430743179111</v>
      </c>
      <c r="R54" s="34">
        <f t="shared" si="4"/>
        <v>159.94468311704475</v>
      </c>
      <c r="S54" s="34">
        <f t="shared" si="4"/>
        <v>162.89540434507171</v>
      </c>
      <c r="T54" s="34">
        <f t="shared" si="4"/>
        <v>168.63347183623375</v>
      </c>
      <c r="U54" s="34">
        <f t="shared" si="4"/>
        <v>169.30408440754786</v>
      </c>
      <c r="V54" s="34">
        <f t="shared" si="4"/>
        <v>172.63743445884279</v>
      </c>
      <c r="W54" s="34">
        <f t="shared" si="4"/>
        <v>161.14469715121004</v>
      </c>
      <c r="X54" s="34">
        <f t="shared" si="4"/>
        <v>176.59075620217686</v>
      </c>
      <c r="Y54" s="34">
        <f t="shared" si="4"/>
        <v>185.5840263272114</v>
      </c>
      <c r="Z54" s="34">
        <f t="shared" si="4"/>
        <v>1245.1656878667752</v>
      </c>
      <c r="AA54" s="34">
        <f t="shared" si="4"/>
        <v>1252.4842670056921</v>
      </c>
      <c r="AB54" s="35"/>
      <c r="AC54" s="35"/>
    </row>
    <row r="55" spans="1:35" s="26" customFormat="1" x14ac:dyDescent="0.2">
      <c r="A55" s="27" t="s">
        <v>23</v>
      </c>
      <c r="B55" s="27" t="s">
        <v>24</v>
      </c>
      <c r="C55" s="34">
        <f t="shared" ref="C55:AA55" si="5">C39-C47</f>
        <v>-684.55871456411455</v>
      </c>
      <c r="D55" s="34">
        <f t="shared" si="5"/>
        <v>-702.68454336913567</v>
      </c>
      <c r="E55" s="34">
        <f t="shared" si="5"/>
        <v>-720.77384265757632</v>
      </c>
      <c r="F55" s="34">
        <f t="shared" si="5"/>
        <v>-738.74093332950906</v>
      </c>
      <c r="G55" s="34">
        <f t="shared" si="5"/>
        <v>-756.33833719203506</v>
      </c>
      <c r="H55" s="34">
        <f t="shared" si="5"/>
        <v>-773.07943480664278</v>
      </c>
      <c r="I55" s="34">
        <f t="shared" si="5"/>
        <v>-788.48183494621776</v>
      </c>
      <c r="J55" s="34">
        <f t="shared" si="5"/>
        <v>-802.20226258306627</v>
      </c>
      <c r="K55" s="34">
        <f t="shared" si="5"/>
        <v>-813.8508706402539</v>
      </c>
      <c r="L55" s="34">
        <f t="shared" si="5"/>
        <v>-823.32722986311205</v>
      </c>
      <c r="M55" s="34">
        <f t="shared" si="5"/>
        <v>135.33442771575665</v>
      </c>
      <c r="N55" s="34">
        <f t="shared" si="5"/>
        <v>133.24030803547464</v>
      </c>
      <c r="O55" s="34">
        <f t="shared" si="5"/>
        <v>135.50840578519842</v>
      </c>
      <c r="P55" s="34">
        <f t="shared" si="5"/>
        <v>134.91473918727434</v>
      </c>
      <c r="Q55" s="34">
        <f t="shared" si="5"/>
        <v>131.15807523317289</v>
      </c>
      <c r="R55" s="34">
        <f t="shared" si="5"/>
        <v>136.39990732476178</v>
      </c>
      <c r="S55" s="34">
        <f t="shared" si="5"/>
        <v>145.50654139050471</v>
      </c>
      <c r="T55" s="34">
        <f t="shared" si="5"/>
        <v>154.5766270764733</v>
      </c>
      <c r="U55" s="34">
        <f t="shared" si="5"/>
        <v>154.79567036429546</v>
      </c>
      <c r="V55" s="34">
        <f t="shared" si="5"/>
        <v>166.12356759312422</v>
      </c>
      <c r="W55" s="34">
        <f t="shared" si="5"/>
        <v>171.47246398380059</v>
      </c>
      <c r="X55" s="34">
        <f t="shared" si="5"/>
        <v>184.48161728491903</v>
      </c>
      <c r="Y55" s="34">
        <f t="shared" si="5"/>
        <v>197.76315992549542</v>
      </c>
      <c r="Z55" s="34">
        <f t="shared" si="5"/>
        <v>1090.4637644137599</v>
      </c>
      <c r="AA55" s="34">
        <f t="shared" si="5"/>
        <v>1096.632961007321</v>
      </c>
      <c r="AB55" s="35"/>
      <c r="AC55" s="35"/>
    </row>
    <row r="56" spans="1:35" s="26" customFormat="1" x14ac:dyDescent="0.2">
      <c r="A56" s="27" t="s">
        <v>25</v>
      </c>
      <c r="B56" s="27" t="s">
        <v>26</v>
      </c>
      <c r="C56" s="34">
        <f t="shared" ref="C56:AA56" si="6">C40-C48</f>
        <v>-210.10565944309189</v>
      </c>
      <c r="D56" s="34">
        <f t="shared" si="6"/>
        <v>-232.73475290474073</v>
      </c>
      <c r="E56" s="34">
        <f t="shared" si="6"/>
        <v>-187.45032994874077</v>
      </c>
      <c r="F56" s="34">
        <f t="shared" si="6"/>
        <v>-181.59379615748685</v>
      </c>
      <c r="G56" s="34">
        <f t="shared" si="6"/>
        <v>-161.84326974234978</v>
      </c>
      <c r="H56" s="34">
        <f t="shared" si="6"/>
        <v>-129.17653648918463</v>
      </c>
      <c r="I56" s="34">
        <f t="shared" si="6"/>
        <v>-91.812794579132856</v>
      </c>
      <c r="J56" s="34">
        <f t="shared" si="6"/>
        <v>-80.442246111272198</v>
      </c>
      <c r="K56" s="34">
        <f t="shared" si="6"/>
        <v>-74.387136800072085</v>
      </c>
      <c r="L56" s="34">
        <f t="shared" si="6"/>
        <v>-114.04312838976648</v>
      </c>
      <c r="M56" s="34">
        <f t="shared" si="6"/>
        <v>-104.90332162928416</v>
      </c>
      <c r="N56" s="34">
        <f t="shared" si="6"/>
        <v>-86.741832346106889</v>
      </c>
      <c r="O56" s="34">
        <f t="shared" si="6"/>
        <v>-66.21078374454828</v>
      </c>
      <c r="P56" s="34">
        <f t="shared" si="6"/>
        <v>-46.116552212852184</v>
      </c>
      <c r="Q56" s="34">
        <f t="shared" si="6"/>
        <v>-22.033251285183724</v>
      </c>
      <c r="R56" s="34">
        <f t="shared" si="6"/>
        <v>-44.15953498109775</v>
      </c>
      <c r="S56" s="34">
        <f t="shared" si="6"/>
        <v>-85.401777406460951</v>
      </c>
      <c r="T56" s="34">
        <f t="shared" si="6"/>
        <v>-73.514261089029787</v>
      </c>
      <c r="U56" s="34">
        <f t="shared" si="6"/>
        <v>-66.062785090208308</v>
      </c>
      <c r="V56" s="34">
        <f t="shared" si="6"/>
        <v>-60.615591936550345</v>
      </c>
      <c r="W56" s="34">
        <f t="shared" si="6"/>
        <v>-46.041154737687521</v>
      </c>
      <c r="X56" s="34">
        <f t="shared" si="6"/>
        <v>-26.676179555976546</v>
      </c>
      <c r="Y56" s="34">
        <f t="shared" si="6"/>
        <v>-12.132258925156748</v>
      </c>
      <c r="Z56" s="34">
        <f t="shared" si="6"/>
        <v>913.51964788261523</v>
      </c>
      <c r="AA56" s="34">
        <f t="shared" si="6"/>
        <v>901.84895556660808</v>
      </c>
      <c r="AB56" s="35"/>
      <c r="AC56" s="35"/>
    </row>
    <row r="57" spans="1:35" s="26" customFormat="1" ht="13.5" thickBot="1" x14ac:dyDescent="0.25">
      <c r="A57" s="31" t="s">
        <v>27</v>
      </c>
      <c r="B57" s="31" t="s">
        <v>28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 spans="1:35" s="26" customFormat="1" ht="14.25" thickTop="1" thickBot="1" x14ac:dyDescent="0.25">
      <c r="A58" s="27" t="s">
        <v>29</v>
      </c>
      <c r="B58" s="27" t="s">
        <v>30</v>
      </c>
      <c r="C58" s="34">
        <f>$Q$70*C52+$Q$71*C53</f>
        <v>6.5109969956434099</v>
      </c>
      <c r="D58" s="34">
        <f t="shared" ref="D58:AA59" si="7">$Q$70*D52+$Q$71*D53</f>
        <v>1.1820965259973093</v>
      </c>
      <c r="E58" s="34">
        <f t="shared" si="7"/>
        <v>3.5114730222799722</v>
      </c>
      <c r="F58" s="34">
        <f t="shared" si="7"/>
        <v>9.3627947664511169</v>
      </c>
      <c r="G58" s="34">
        <f t="shared" si="7"/>
        <v>6.4465072293045296</v>
      </c>
      <c r="H58" s="34">
        <f t="shared" si="7"/>
        <v>6.7834803739564364</v>
      </c>
      <c r="I58" s="34">
        <f t="shared" si="7"/>
        <v>12.868862557053149</v>
      </c>
      <c r="J58" s="34">
        <f t="shared" si="7"/>
        <v>20.722985586918114</v>
      </c>
      <c r="K58" s="34">
        <f t="shared" si="7"/>
        <v>18.240869637065032</v>
      </c>
      <c r="L58" s="34">
        <f t="shared" si="7"/>
        <v>-5.9035257467839699</v>
      </c>
      <c r="M58" s="34">
        <f t="shared" si="7"/>
        <v>0.96823132276300328</v>
      </c>
      <c r="N58" s="34">
        <f t="shared" si="7"/>
        <v>7.9035201193850924</v>
      </c>
      <c r="O58" s="34">
        <f t="shared" si="7"/>
        <v>6.1274305191396934</v>
      </c>
      <c r="P58" s="34">
        <f t="shared" si="7"/>
        <v>7.3088811196752772</v>
      </c>
      <c r="Q58" s="34">
        <f t="shared" si="7"/>
        <v>1.7992529253778855</v>
      </c>
      <c r="R58" s="34">
        <f t="shared" si="7"/>
        <v>-2.9669471874655073</v>
      </c>
      <c r="S58" s="34">
        <f t="shared" si="7"/>
        <v>-1.3677062502652433</v>
      </c>
      <c r="T58" s="34">
        <f t="shared" si="7"/>
        <v>1.10684553332338</v>
      </c>
      <c r="U58" s="34">
        <f t="shared" si="7"/>
        <v>2.1730260274401019</v>
      </c>
      <c r="V58" s="34">
        <f t="shared" si="7"/>
        <v>2.3793576912825927</v>
      </c>
      <c r="W58" s="34">
        <f t="shared" si="7"/>
        <v>-7.0272057365092735</v>
      </c>
      <c r="X58" s="34">
        <f t="shared" si="7"/>
        <v>-2.5771514299982812</v>
      </c>
      <c r="Y58" s="34">
        <f t="shared" si="7"/>
        <v>-5.8845196050131392</v>
      </c>
      <c r="Z58" s="34">
        <f t="shared" si="7"/>
        <v>-128.872719581317</v>
      </c>
      <c r="AA58" s="34">
        <f t="shared" si="7"/>
        <v>-129.85584532511785</v>
      </c>
      <c r="AB58" s="36"/>
      <c r="AC58" s="37"/>
    </row>
    <row r="59" spans="1:35" s="26" customFormat="1" ht="14.25" thickTop="1" thickBot="1" x14ac:dyDescent="0.25">
      <c r="A59" s="27" t="s">
        <v>31</v>
      </c>
      <c r="B59" s="27" t="s">
        <v>32</v>
      </c>
      <c r="C59" s="34">
        <f>$Q$70*C53+$Q$71*C54</f>
        <v>197.85887841863632</v>
      </c>
      <c r="D59" s="34">
        <f t="shared" si="7"/>
        <v>202.45061983862996</v>
      </c>
      <c r="E59" s="34">
        <f t="shared" si="7"/>
        <v>197.79999210985986</v>
      </c>
      <c r="F59" s="34">
        <f t="shared" si="7"/>
        <v>193.08155876542503</v>
      </c>
      <c r="G59" s="34">
        <f t="shared" si="7"/>
        <v>207.11977133985621</v>
      </c>
      <c r="H59" s="34">
        <f t="shared" si="7"/>
        <v>209.42919646905474</v>
      </c>
      <c r="I59" s="34">
        <f t="shared" si="7"/>
        <v>212.16462135032518</v>
      </c>
      <c r="J59" s="34">
        <f t="shared" si="7"/>
        <v>219.50290555878976</v>
      </c>
      <c r="K59" s="34">
        <f t="shared" si="7"/>
        <v>236.3424229138457</v>
      </c>
      <c r="L59" s="34">
        <f t="shared" si="7"/>
        <v>238.57718752132999</v>
      </c>
      <c r="M59" s="34">
        <f t="shared" si="7"/>
        <v>-49.231070608045968</v>
      </c>
      <c r="N59" s="34">
        <f t="shared" si="7"/>
        <v>-48.585052399939428</v>
      </c>
      <c r="O59" s="34">
        <f t="shared" si="7"/>
        <v>-45.358786914646231</v>
      </c>
      <c r="P59" s="34">
        <f t="shared" si="7"/>
        <v>-50.616880628031794</v>
      </c>
      <c r="Q59" s="34">
        <f t="shared" si="7"/>
        <v>-56.938542214733133</v>
      </c>
      <c r="R59" s="34">
        <f t="shared" si="7"/>
        <v>-60.533242395473366</v>
      </c>
      <c r="S59" s="34">
        <f t="shared" si="7"/>
        <v>-58.515580374558965</v>
      </c>
      <c r="T59" s="34">
        <f t="shared" si="7"/>
        <v>-49.401705096737572</v>
      </c>
      <c r="U59" s="34">
        <f t="shared" si="7"/>
        <v>-40.866670068231713</v>
      </c>
      <c r="V59" s="34">
        <f t="shared" si="7"/>
        <v>-39.446715540323623</v>
      </c>
      <c r="W59" s="34">
        <f t="shared" si="7"/>
        <v>-31.553732524752149</v>
      </c>
      <c r="X59" s="34">
        <f t="shared" si="7"/>
        <v>-38.339095026262783</v>
      </c>
      <c r="Y59" s="34">
        <f t="shared" si="7"/>
        <v>-22.255830367110264</v>
      </c>
      <c r="Z59" s="34">
        <f t="shared" si="7"/>
        <v>204.1994563585742</v>
      </c>
      <c r="AA59" s="34">
        <f t="shared" si="7"/>
        <v>206.30231454904839</v>
      </c>
      <c r="AB59" s="36"/>
      <c r="AC59" s="37"/>
      <c r="AI59" s="38"/>
    </row>
    <row r="60" spans="1:35" s="26" customFormat="1" ht="13.5" thickTop="1" x14ac:dyDescent="0.2">
      <c r="A60" s="24"/>
      <c r="B60" s="24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0"/>
      <c r="AC60" s="40"/>
      <c r="AI60" s="38"/>
    </row>
    <row r="61" spans="1:35" s="26" customFormat="1" ht="14.45" customHeight="1" x14ac:dyDescent="0.2">
      <c r="V61" s="2"/>
      <c r="W61" s="41"/>
      <c r="X61" s="1"/>
      <c r="Y61" s="25"/>
      <c r="Z61" s="25"/>
      <c r="AA61" s="25"/>
      <c r="AI61" s="38"/>
    </row>
    <row r="62" spans="1:35" s="26" customFormat="1" ht="14.45" customHeight="1" x14ac:dyDescent="0.2">
      <c r="V62" s="2"/>
      <c r="W62" s="41"/>
      <c r="X62" s="1"/>
      <c r="Y62" s="25"/>
      <c r="Z62" s="25"/>
      <c r="AA62" s="25"/>
      <c r="AI62" s="38"/>
    </row>
    <row r="63" spans="1:35" s="26" customFormat="1" ht="14.45" customHeight="1" x14ac:dyDescent="0.2">
      <c r="V63" s="2"/>
      <c r="W63" s="41"/>
      <c r="X63" s="1"/>
      <c r="Y63" s="25"/>
      <c r="Z63" s="25"/>
      <c r="AA63" s="25"/>
      <c r="AI63" s="38"/>
    </row>
    <row r="64" spans="1:35" s="26" customFormat="1" ht="14.45" customHeight="1" x14ac:dyDescent="0.2">
      <c r="V64" s="2"/>
      <c r="W64" s="41"/>
      <c r="X64" s="1"/>
      <c r="Y64" s="25"/>
      <c r="Z64" s="25"/>
      <c r="AA64" s="25"/>
      <c r="AI64" s="38"/>
    </row>
    <row r="65" spans="1:35" s="26" customFormat="1" ht="14.45" customHeight="1" x14ac:dyDescent="0.2">
      <c r="O65" s="97" t="s">
        <v>33</v>
      </c>
      <c r="P65" s="97"/>
      <c r="Q65" s="97"/>
      <c r="R65" s="1"/>
      <c r="S65" s="25"/>
      <c r="U65" s="97" t="s">
        <v>34</v>
      </c>
      <c r="V65" s="2"/>
      <c r="W65" s="41"/>
      <c r="X65" s="1"/>
      <c r="Y65" s="25"/>
      <c r="Z65" s="25"/>
      <c r="AA65" s="25"/>
      <c r="AI65" s="38"/>
    </row>
    <row r="66" spans="1:35" s="26" customFormat="1" x14ac:dyDescent="0.2">
      <c r="O66" s="97"/>
      <c r="P66" s="97"/>
      <c r="Q66" s="97"/>
      <c r="R66" s="1"/>
      <c r="S66" s="25"/>
      <c r="U66" s="97"/>
      <c r="V66" s="2"/>
      <c r="W66" s="41"/>
      <c r="X66" s="1"/>
      <c r="Y66" s="25"/>
      <c r="Z66" s="25"/>
      <c r="AA66" s="25"/>
      <c r="AI66" s="38"/>
    </row>
    <row r="67" spans="1:35" s="26" customFormat="1" x14ac:dyDescent="0.2">
      <c r="O67" s="97"/>
      <c r="P67" s="97"/>
      <c r="Q67" s="97"/>
      <c r="U67" s="97"/>
      <c r="AI67" s="38"/>
    </row>
    <row r="68" spans="1:35" s="26" customFormat="1" ht="29.1" customHeight="1" x14ac:dyDescent="0.2">
      <c r="O68" s="97"/>
      <c r="P68" s="97"/>
      <c r="Q68" s="97"/>
      <c r="U68" s="97"/>
      <c r="AI68" s="38"/>
    </row>
    <row r="69" spans="1:35" s="26" customFormat="1" x14ac:dyDescent="0.2">
      <c r="O69" s="42"/>
      <c r="P69" s="3"/>
      <c r="Q69" s="4" t="s">
        <v>35</v>
      </c>
      <c r="R69" s="5" t="s">
        <v>36</v>
      </c>
      <c r="S69" s="5" t="s">
        <v>37</v>
      </c>
      <c r="T69" s="43"/>
      <c r="U69" s="44"/>
      <c r="V69" s="6"/>
      <c r="W69" s="7" t="s">
        <v>35</v>
      </c>
      <c r="X69" s="8" t="s">
        <v>36</v>
      </c>
      <c r="Y69" s="8" t="s">
        <v>37</v>
      </c>
      <c r="Z69" s="83"/>
      <c r="AA69" s="83"/>
      <c r="AI69" s="38"/>
    </row>
    <row r="70" spans="1:35" s="26" customFormat="1" ht="38.25" x14ac:dyDescent="0.2">
      <c r="O70" s="9" t="s">
        <v>38</v>
      </c>
      <c r="P70" s="10" t="s">
        <v>39</v>
      </c>
      <c r="Q70" s="11">
        <v>1</v>
      </c>
      <c r="R70" s="12">
        <f>J116</f>
        <v>0.53406891221132846</v>
      </c>
      <c r="S70" s="12">
        <f>M116</f>
        <v>6.0295715800306689E-2</v>
      </c>
      <c r="T70" s="43"/>
      <c r="U70" s="13" t="s">
        <v>38</v>
      </c>
      <c r="V70" s="14" t="s">
        <v>40</v>
      </c>
      <c r="W70" s="15">
        <f>X70</f>
        <v>0.64715067004045479</v>
      </c>
      <c r="X70" s="16">
        <f>T117</f>
        <v>0.64715067004045479</v>
      </c>
      <c r="Y70" s="16">
        <f>W117</f>
        <v>3.7969222103960537E-5</v>
      </c>
      <c r="Z70" s="84"/>
      <c r="AA70" s="84"/>
      <c r="AI70" s="38"/>
    </row>
    <row r="71" spans="1:35" s="26" customFormat="1" ht="38.25" x14ac:dyDescent="0.2">
      <c r="O71" s="17" t="s">
        <v>41</v>
      </c>
      <c r="P71" s="10" t="s">
        <v>42</v>
      </c>
      <c r="Q71" s="18">
        <v>-0.25</v>
      </c>
      <c r="R71" s="19">
        <f>J117</f>
        <v>-0.48170117587666117</v>
      </c>
      <c r="S71" s="19">
        <f>M117</f>
        <v>0.16451816001548478</v>
      </c>
      <c r="T71" s="43"/>
      <c r="U71" s="20" t="s">
        <v>41</v>
      </c>
      <c r="V71" s="14" t="s">
        <v>43</v>
      </c>
      <c r="W71" s="21">
        <f>X71</f>
        <v>0.15388895955290358</v>
      </c>
      <c r="X71" s="22">
        <f>T118</f>
        <v>0.15388895955290358</v>
      </c>
      <c r="Y71" s="22">
        <f>W118</f>
        <v>7.5506559730643156E-3</v>
      </c>
      <c r="Z71" s="84"/>
      <c r="AA71" s="84"/>
      <c r="AI71" s="38"/>
    </row>
    <row r="72" spans="1:35" s="26" customFormat="1" ht="25.5" x14ac:dyDescent="0.2">
      <c r="O72" s="98" t="s">
        <v>44</v>
      </c>
      <c r="P72" s="45"/>
      <c r="Q72" s="46"/>
      <c r="R72" s="100">
        <f>J104</f>
        <v>0.11504010688084142</v>
      </c>
      <c r="S72" s="47"/>
      <c r="T72" s="43"/>
      <c r="U72" s="20" t="s">
        <v>45</v>
      </c>
      <c r="V72" s="14" t="s">
        <v>46</v>
      </c>
      <c r="W72" s="21">
        <f>X72</f>
        <v>0.31290621317977452</v>
      </c>
      <c r="X72" s="22">
        <f>T119</f>
        <v>0.31290621317977452</v>
      </c>
      <c r="Y72" s="22">
        <f>W119</f>
        <v>1.0386156030807544E-7</v>
      </c>
      <c r="Z72" s="84"/>
      <c r="AA72" s="84"/>
      <c r="AI72" s="38"/>
    </row>
    <row r="73" spans="1:35" s="26" customFormat="1" x14ac:dyDescent="0.2">
      <c r="L73" s="38"/>
      <c r="M73" s="38"/>
      <c r="N73" s="38"/>
      <c r="O73" s="99"/>
      <c r="P73" s="45"/>
      <c r="Q73" s="46"/>
      <c r="R73" s="101"/>
      <c r="S73" s="47"/>
      <c r="T73" s="43"/>
      <c r="U73" s="20" t="s">
        <v>47</v>
      </c>
      <c r="V73" s="14" t="s">
        <v>13</v>
      </c>
      <c r="W73" s="21">
        <f>X73</f>
        <v>0.31335967864495978</v>
      </c>
      <c r="X73" s="22">
        <f>T120</f>
        <v>0.31335967864495978</v>
      </c>
      <c r="Y73" s="22">
        <f>W120</f>
        <v>2.9175161861799627E-3</v>
      </c>
      <c r="Z73" s="84"/>
      <c r="AA73" s="84"/>
      <c r="AB73" s="48"/>
      <c r="AC73" s="48"/>
      <c r="AD73" s="48"/>
      <c r="AE73" s="48"/>
      <c r="AF73" s="48"/>
      <c r="AG73" s="48"/>
      <c r="AH73" s="38"/>
      <c r="AI73" s="38"/>
    </row>
    <row r="74" spans="1:35" s="26" customFormat="1" x14ac:dyDescent="0.2">
      <c r="L74" s="38"/>
      <c r="M74" s="38"/>
      <c r="N74" s="38"/>
      <c r="O74" s="43"/>
      <c r="P74" s="43"/>
      <c r="Q74" s="43"/>
      <c r="R74" s="43"/>
      <c r="S74" s="43"/>
      <c r="T74" s="43"/>
      <c r="U74" s="20" t="s">
        <v>48</v>
      </c>
      <c r="V74" s="23" t="s">
        <v>42</v>
      </c>
      <c r="W74" s="21">
        <f>X74</f>
        <v>0.16519386729320923</v>
      </c>
      <c r="X74" s="22">
        <f>T121</f>
        <v>0.16519386729320923</v>
      </c>
      <c r="Y74" s="22">
        <f>W121</f>
        <v>0.18102120766055146</v>
      </c>
      <c r="Z74" s="84"/>
      <c r="AA74" s="84"/>
      <c r="AB74" s="48"/>
      <c r="AC74" s="48"/>
      <c r="AD74" s="48"/>
      <c r="AE74" s="48"/>
      <c r="AF74" s="48"/>
      <c r="AG74" s="48"/>
      <c r="AH74" s="38"/>
      <c r="AI74" s="38"/>
    </row>
    <row r="75" spans="1:35" x14ac:dyDescent="0.2">
      <c r="G75" s="26"/>
      <c r="H75" s="26"/>
      <c r="I75" s="26"/>
      <c r="J75" s="26"/>
      <c r="K75" s="26"/>
      <c r="L75" s="26"/>
      <c r="M75" s="26"/>
      <c r="N75" s="26"/>
      <c r="O75" s="49"/>
      <c r="P75" s="43"/>
      <c r="Q75" s="50"/>
      <c r="R75" s="43"/>
      <c r="S75" s="49"/>
      <c r="T75" s="43"/>
      <c r="U75" s="102" t="s">
        <v>44</v>
      </c>
      <c r="V75" s="103"/>
      <c r="W75" s="106">
        <f>T105</f>
        <v>0.8372799677142635</v>
      </c>
      <c r="X75" s="107"/>
      <c r="Y75" s="107"/>
      <c r="Z75" s="84"/>
      <c r="AA75" s="84"/>
    </row>
    <row r="76" spans="1:35" x14ac:dyDescent="0.2">
      <c r="O76" s="49"/>
      <c r="P76" s="49"/>
      <c r="Q76" s="49"/>
      <c r="R76" s="49"/>
      <c r="S76" s="49"/>
      <c r="T76" s="49"/>
      <c r="U76" s="104"/>
      <c r="V76" s="105"/>
      <c r="W76" s="108"/>
      <c r="X76" s="109"/>
      <c r="Y76" s="109"/>
      <c r="Z76" s="85"/>
      <c r="AA76" s="85"/>
    </row>
    <row r="77" spans="1:35" x14ac:dyDescent="0.2">
      <c r="A77" s="51"/>
      <c r="B77" s="51"/>
    </row>
    <row r="78" spans="1:35" x14ac:dyDescent="0.2">
      <c r="W78" s="52"/>
    </row>
    <row r="79" spans="1:35" x14ac:dyDescent="0.2">
      <c r="C79" s="53"/>
      <c r="H79" s="54"/>
      <c r="I79" s="55"/>
      <c r="W79" s="52"/>
    </row>
    <row r="80" spans="1:35" x14ac:dyDescent="0.2">
      <c r="W80" s="52"/>
    </row>
    <row r="87" spans="3:7" x14ac:dyDescent="0.2">
      <c r="C87" s="56"/>
      <c r="D87" s="56"/>
      <c r="E87" s="56"/>
      <c r="F87" s="56"/>
      <c r="G87" s="56"/>
    </row>
    <row r="98" spans="1:24" x14ac:dyDescent="0.2">
      <c r="C98" s="57"/>
      <c r="D98" s="56"/>
      <c r="E98" s="57"/>
      <c r="F98" s="57"/>
      <c r="G98" s="57"/>
    </row>
    <row r="99" spans="1:24" x14ac:dyDescent="0.2">
      <c r="A99" s="26"/>
      <c r="B99" s="26"/>
      <c r="C99" s="55"/>
      <c r="D99" s="58"/>
      <c r="E99" s="59"/>
      <c r="F99" s="60"/>
      <c r="G99" s="60"/>
      <c r="I99" s="25" t="s">
        <v>49</v>
      </c>
    </row>
    <row r="100" spans="1:24" ht="13.5" thickBot="1" x14ac:dyDescent="0.25">
      <c r="A100" s="26"/>
      <c r="B100" s="26"/>
      <c r="C100" s="55"/>
      <c r="D100" s="58"/>
      <c r="E100" s="59"/>
      <c r="F100" s="60"/>
      <c r="G100" s="60"/>
      <c r="S100" s="25" t="s">
        <v>49</v>
      </c>
    </row>
    <row r="101" spans="1:24" ht="13.5" thickBot="1" x14ac:dyDescent="0.25">
      <c r="A101" s="26"/>
      <c r="B101" s="26"/>
      <c r="C101" s="55"/>
      <c r="D101" s="58"/>
      <c r="E101" s="59"/>
      <c r="F101" s="60"/>
      <c r="G101" s="60"/>
      <c r="I101" s="61" t="s">
        <v>50</v>
      </c>
      <c r="J101" s="61"/>
    </row>
    <row r="102" spans="1:24" x14ac:dyDescent="0.2">
      <c r="A102" s="26"/>
      <c r="B102" s="26"/>
      <c r="C102" s="55"/>
      <c r="D102" s="58"/>
      <c r="E102" s="59"/>
      <c r="F102" s="60"/>
      <c r="G102" s="60"/>
      <c r="I102" s="25" t="s">
        <v>51</v>
      </c>
      <c r="J102" s="25">
        <v>0.44801797064696119</v>
      </c>
      <c r="S102" s="61" t="s">
        <v>50</v>
      </c>
      <c r="T102" s="61"/>
    </row>
    <row r="103" spans="1:24" x14ac:dyDescent="0.2">
      <c r="A103" s="26"/>
      <c r="B103" s="26"/>
      <c r="C103" s="55"/>
      <c r="D103" s="58"/>
      <c r="E103" s="59"/>
      <c r="F103" s="60"/>
      <c r="G103" s="60"/>
      <c r="I103" s="25" t="s">
        <v>52</v>
      </c>
      <c r="J103" s="25">
        <v>0.20072010202262136</v>
      </c>
      <c r="S103" s="25" t="s">
        <v>51</v>
      </c>
      <c r="T103" s="25">
        <v>0.95515442394640948</v>
      </c>
    </row>
    <row r="104" spans="1:24" x14ac:dyDescent="0.2">
      <c r="A104" s="26"/>
      <c r="B104" s="26"/>
      <c r="C104" s="55"/>
      <c r="D104" s="58"/>
      <c r="E104" s="59"/>
      <c r="F104" s="60"/>
      <c r="G104" s="60"/>
      <c r="I104" s="25" t="s">
        <v>53</v>
      </c>
      <c r="J104" s="25">
        <v>0.11504010688084142</v>
      </c>
      <c r="S104" s="25" t="s">
        <v>52</v>
      </c>
      <c r="T104" s="25">
        <v>0.91231997358439731</v>
      </c>
    </row>
    <row r="105" spans="1:24" x14ac:dyDescent="0.2">
      <c r="A105" s="26"/>
      <c r="B105" s="26"/>
      <c r="C105" s="55"/>
      <c r="D105" s="58"/>
      <c r="E105" s="59"/>
      <c r="F105" s="60"/>
      <c r="G105" s="60"/>
      <c r="I105" s="25" t="s">
        <v>54</v>
      </c>
      <c r="J105" s="25">
        <v>7.8103417469233314</v>
      </c>
      <c r="S105" s="25" t="s">
        <v>53</v>
      </c>
      <c r="T105" s="25">
        <v>0.8372799677142635</v>
      </c>
    </row>
    <row r="106" spans="1:24" ht="13.5" thickBot="1" x14ac:dyDescent="0.25">
      <c r="A106" s="26"/>
      <c r="B106" s="26"/>
      <c r="C106" s="55"/>
      <c r="D106" s="58"/>
      <c r="E106" s="59"/>
      <c r="F106" s="60"/>
      <c r="G106" s="60"/>
      <c r="I106" s="62" t="s">
        <v>55</v>
      </c>
      <c r="J106" s="62">
        <v>23</v>
      </c>
      <c r="S106" s="25" t="s">
        <v>54</v>
      </c>
      <c r="T106" s="25">
        <v>2.6792824124381149</v>
      </c>
    </row>
    <row r="107" spans="1:24" ht="13.5" thickBot="1" x14ac:dyDescent="0.25">
      <c r="A107" s="26"/>
      <c r="B107" s="26"/>
      <c r="C107" s="55"/>
      <c r="D107" s="58"/>
      <c r="E107" s="59"/>
      <c r="F107" s="60"/>
      <c r="G107" s="60"/>
      <c r="S107" s="62" t="s">
        <v>55</v>
      </c>
      <c r="T107" s="62">
        <v>23</v>
      </c>
    </row>
    <row r="108" spans="1:24" ht="13.5" thickBot="1" x14ac:dyDescent="0.25">
      <c r="A108" s="26"/>
      <c r="B108" s="26"/>
      <c r="C108" s="55"/>
      <c r="D108" s="58"/>
      <c r="E108" s="59"/>
      <c r="F108" s="60"/>
      <c r="G108" s="60"/>
      <c r="I108" s="25" t="s">
        <v>56</v>
      </c>
    </row>
    <row r="109" spans="1:24" ht="13.5" thickBot="1" x14ac:dyDescent="0.25">
      <c r="A109" s="26"/>
      <c r="B109" s="26"/>
      <c r="C109" s="55"/>
      <c r="D109" s="58"/>
      <c r="E109" s="59"/>
      <c r="F109" s="60"/>
      <c r="G109" s="60"/>
      <c r="I109" s="63"/>
      <c r="J109" s="63" t="s">
        <v>57</v>
      </c>
      <c r="K109" s="63" t="s">
        <v>58</v>
      </c>
      <c r="L109" s="63" t="s">
        <v>59</v>
      </c>
      <c r="M109" s="63" t="s">
        <v>60</v>
      </c>
      <c r="N109" s="63" t="s">
        <v>61</v>
      </c>
      <c r="S109" s="25" t="s">
        <v>56</v>
      </c>
    </row>
    <row r="110" spans="1:24" x14ac:dyDescent="0.2">
      <c r="A110" s="26"/>
      <c r="B110" s="26"/>
      <c r="C110" s="55"/>
      <c r="D110" s="58"/>
      <c r="E110" s="59"/>
      <c r="F110" s="60"/>
      <c r="G110" s="60"/>
      <c r="I110" s="25" t="s">
        <v>62</v>
      </c>
      <c r="J110" s="25">
        <v>2</v>
      </c>
      <c r="K110" s="25">
        <v>321.70021233620128</v>
      </c>
      <c r="L110" s="25">
        <v>160.85010616810064</v>
      </c>
      <c r="M110" s="25">
        <v>2.6368248176525175</v>
      </c>
      <c r="N110" s="25">
        <v>9.6298683573086352E-2</v>
      </c>
      <c r="S110" s="63"/>
      <c r="T110" s="63" t="s">
        <v>57</v>
      </c>
      <c r="U110" s="63" t="s">
        <v>58</v>
      </c>
      <c r="V110" s="63" t="s">
        <v>59</v>
      </c>
      <c r="W110" s="63" t="s">
        <v>60</v>
      </c>
      <c r="X110" s="63" t="s">
        <v>61</v>
      </c>
    </row>
    <row r="111" spans="1:24" x14ac:dyDescent="0.2">
      <c r="A111" s="26"/>
      <c r="B111" s="26"/>
      <c r="C111" s="55"/>
      <c r="D111" s="58"/>
      <c r="E111" s="59"/>
      <c r="F111" s="60"/>
      <c r="G111" s="60"/>
      <c r="I111" s="25" t="s">
        <v>63</v>
      </c>
      <c r="J111" s="25">
        <v>21</v>
      </c>
      <c r="K111" s="25">
        <v>1281.0302022784015</v>
      </c>
      <c r="L111" s="25">
        <v>61.0014382037334</v>
      </c>
      <c r="S111" s="25" t="s">
        <v>62</v>
      </c>
      <c r="T111" s="25">
        <v>5</v>
      </c>
      <c r="U111" s="25">
        <v>1344.4851281886131</v>
      </c>
      <c r="V111" s="25">
        <v>268.89702563772261</v>
      </c>
      <c r="W111" s="25">
        <v>37.458381790808623</v>
      </c>
      <c r="X111" s="25">
        <v>1.3514591890628761E-8</v>
      </c>
    </row>
    <row r="112" spans="1:24" ht="13.5" thickBot="1" x14ac:dyDescent="0.25">
      <c r="A112" s="26"/>
      <c r="B112" s="26"/>
      <c r="C112" s="55"/>
      <c r="D112" s="58"/>
      <c r="E112" s="59"/>
      <c r="F112" s="60"/>
      <c r="G112" s="60"/>
      <c r="I112" s="62" t="s">
        <v>64</v>
      </c>
      <c r="J112" s="62">
        <v>23</v>
      </c>
      <c r="K112" s="62">
        <v>1602.7304146146028</v>
      </c>
      <c r="L112" s="62"/>
      <c r="M112" s="62"/>
      <c r="N112" s="62"/>
      <c r="S112" s="25" t="s">
        <v>63</v>
      </c>
      <c r="T112" s="25">
        <v>18</v>
      </c>
      <c r="U112" s="25">
        <v>129.21397642080368</v>
      </c>
      <c r="V112" s="25">
        <v>7.1785542456002043</v>
      </c>
    </row>
    <row r="113" spans="1:29" ht="13.5" thickBot="1" x14ac:dyDescent="0.25">
      <c r="A113" s="26"/>
      <c r="B113" s="26"/>
      <c r="C113" s="55"/>
      <c r="D113" s="58"/>
      <c r="E113" s="59"/>
      <c r="F113" s="60"/>
      <c r="G113" s="60"/>
      <c r="S113" s="62" t="s">
        <v>64</v>
      </c>
      <c r="T113" s="62">
        <v>23</v>
      </c>
      <c r="U113" s="62">
        <v>1473.6991046094167</v>
      </c>
      <c r="V113" s="62"/>
      <c r="W113" s="62"/>
      <c r="X113" s="62"/>
    </row>
    <row r="114" spans="1:29" ht="26.25" thickBot="1" x14ac:dyDescent="0.25">
      <c r="A114" s="26"/>
      <c r="B114" s="26"/>
      <c r="C114" s="64"/>
      <c r="F114" s="60"/>
      <c r="G114" s="60"/>
      <c r="I114" s="63"/>
      <c r="J114" s="82" t="s">
        <v>65</v>
      </c>
      <c r="K114" s="82" t="s">
        <v>54</v>
      </c>
      <c r="L114" s="82" t="s">
        <v>66</v>
      </c>
      <c r="M114" s="82" t="s">
        <v>67</v>
      </c>
      <c r="N114" s="82" t="s">
        <v>68</v>
      </c>
      <c r="O114" s="82" t="s">
        <v>69</v>
      </c>
      <c r="P114" s="82" t="s">
        <v>70</v>
      </c>
      <c r="Q114" s="82" t="s">
        <v>71</v>
      </c>
    </row>
    <row r="115" spans="1:29" ht="25.5" x14ac:dyDescent="0.2">
      <c r="I115" s="25" t="s">
        <v>72</v>
      </c>
      <c r="J115" s="25">
        <v>0</v>
      </c>
      <c r="K115" s="25" t="e">
        <v>#N/A</v>
      </c>
      <c r="L115" s="25" t="e">
        <v>#N/A</v>
      </c>
      <c r="M115" s="25" t="e">
        <v>#N/A</v>
      </c>
      <c r="N115" s="25" t="e">
        <v>#N/A</v>
      </c>
      <c r="O115" s="25" t="e">
        <v>#N/A</v>
      </c>
      <c r="P115" s="25" t="e">
        <v>#N/A</v>
      </c>
      <c r="Q115" s="25" t="e">
        <v>#N/A</v>
      </c>
      <c r="S115" s="63"/>
      <c r="T115" s="82" t="s">
        <v>65</v>
      </c>
      <c r="U115" s="82" t="s">
        <v>54</v>
      </c>
      <c r="V115" s="82" t="s">
        <v>66</v>
      </c>
      <c r="W115" s="82" t="s">
        <v>67</v>
      </c>
      <c r="X115" s="82" t="s">
        <v>68</v>
      </c>
      <c r="Y115" s="82" t="s">
        <v>69</v>
      </c>
      <c r="Z115" s="82"/>
      <c r="AA115" s="82"/>
      <c r="AB115" s="82" t="s">
        <v>70</v>
      </c>
      <c r="AC115" s="82" t="s">
        <v>71</v>
      </c>
    </row>
    <row r="116" spans="1:29" x14ac:dyDescent="0.2">
      <c r="A116" s="51"/>
      <c r="B116" s="51"/>
      <c r="I116" s="25" t="str">
        <f>Q128</f>
        <v>Yf gap</v>
      </c>
      <c r="J116" s="25">
        <v>0.53406891221132846</v>
      </c>
      <c r="K116" s="25">
        <v>0.26897832419439455</v>
      </c>
      <c r="L116" s="25">
        <v>1.9855462844855449</v>
      </c>
      <c r="M116" s="25">
        <v>6.0295715800306689E-2</v>
      </c>
      <c r="N116" s="25">
        <v>-2.530213471498477E-2</v>
      </c>
      <c r="O116" s="25">
        <v>1.0934399591376418</v>
      </c>
      <c r="P116" s="25">
        <v>-2.530213471498477E-2</v>
      </c>
      <c r="Q116" s="25">
        <v>1.0934399591376418</v>
      </c>
      <c r="S116" s="25" t="s">
        <v>72</v>
      </c>
      <c r="T116" s="25">
        <v>0</v>
      </c>
      <c r="U116" s="25" t="e">
        <v>#N/A</v>
      </c>
      <c r="V116" s="25" t="e">
        <v>#N/A</v>
      </c>
      <c r="W116" s="25" t="e">
        <v>#N/A</v>
      </c>
      <c r="X116" s="25" t="e">
        <v>#N/A</v>
      </c>
      <c r="Y116" s="25" t="e">
        <v>#N/A</v>
      </c>
      <c r="AB116" s="25" t="e">
        <v>#N/A</v>
      </c>
      <c r="AC116" s="25" t="e">
        <v>#N/A</v>
      </c>
    </row>
    <row r="117" spans="1:29" ht="13.5" thickBot="1" x14ac:dyDescent="0.25">
      <c r="I117" s="62" t="str">
        <f>R128</f>
        <v>REER gap</v>
      </c>
      <c r="J117" s="62">
        <v>-0.48170117587666117</v>
      </c>
      <c r="K117" s="62">
        <v>0.33443861021318921</v>
      </c>
      <c r="L117" s="62">
        <v>-1.4403276450933666</v>
      </c>
      <c r="M117" s="62">
        <v>0.16451816001548478</v>
      </c>
      <c r="N117" s="62">
        <v>-1.1772043398874934</v>
      </c>
      <c r="O117" s="62">
        <v>0.21380198813417117</v>
      </c>
      <c r="P117" s="62">
        <v>-1.1772043398874934</v>
      </c>
      <c r="Q117" s="62">
        <v>0.21380198813417117</v>
      </c>
      <c r="S117" s="25" t="str">
        <f>U128</f>
        <v>C gap</v>
      </c>
      <c r="T117" s="25">
        <v>0.64715067004045479</v>
      </c>
      <c r="U117" s="25">
        <v>0.11945975136079633</v>
      </c>
      <c r="V117" s="25">
        <v>5.4173113761630791</v>
      </c>
      <c r="W117" s="25">
        <v>3.7969222103960537E-5</v>
      </c>
      <c r="X117" s="25">
        <v>0.3961750454848435</v>
      </c>
      <c r="Y117" s="25">
        <v>0.89812629459606608</v>
      </c>
      <c r="AB117" s="25">
        <v>0.3961750454848435</v>
      </c>
      <c r="AC117" s="25">
        <v>0.89812629459606608</v>
      </c>
    </row>
    <row r="118" spans="1:29" x14ac:dyDescent="0.2">
      <c r="S118" s="25" t="str">
        <f>V128</f>
        <v>G gap</v>
      </c>
      <c r="T118" s="25">
        <v>0.15388895955290358</v>
      </c>
      <c r="U118" s="25">
        <v>5.1157638681346089E-2</v>
      </c>
      <c r="V118" s="25">
        <v>3.0081325784299153</v>
      </c>
      <c r="W118" s="25">
        <v>7.5506559730643156E-3</v>
      </c>
      <c r="X118" s="25">
        <v>4.6410748920576117E-2</v>
      </c>
      <c r="Y118" s="25">
        <v>0.26136717018523103</v>
      </c>
      <c r="AB118" s="25">
        <v>4.6410748920576117E-2</v>
      </c>
      <c r="AC118" s="25">
        <v>0.26136717018523103</v>
      </c>
    </row>
    <row r="119" spans="1:29" x14ac:dyDescent="0.2">
      <c r="S119" s="25" t="str">
        <f>W128</f>
        <v>I gap</v>
      </c>
      <c r="T119" s="25">
        <v>0.31290621317977452</v>
      </c>
      <c r="U119" s="25">
        <v>3.6851543865459975E-2</v>
      </c>
      <c r="V119" s="25">
        <v>8.4909933304871288</v>
      </c>
      <c r="W119" s="25">
        <v>1.0386156030807544E-7</v>
      </c>
      <c r="X119" s="25">
        <v>0.23548399245592025</v>
      </c>
      <c r="Y119" s="25">
        <v>0.39032843390362881</v>
      </c>
      <c r="AB119" s="25">
        <v>0.23548399245592025</v>
      </c>
      <c r="AC119" s="25">
        <v>0.39032843390362881</v>
      </c>
    </row>
    <row r="120" spans="1:29" x14ac:dyDescent="0.2">
      <c r="S120" s="26" t="str">
        <f>X128</f>
        <v>X gap</v>
      </c>
      <c r="T120" s="25">
        <v>0.31335967864495978</v>
      </c>
      <c r="U120" s="25">
        <v>9.1079510451212986E-2</v>
      </c>
      <c r="V120" s="25">
        <v>3.4405068394917628</v>
      </c>
      <c r="W120" s="25">
        <v>2.9175161861799627E-3</v>
      </c>
      <c r="X120" s="25">
        <v>0.12200872772364246</v>
      </c>
      <c r="Y120" s="25">
        <v>0.5047106295662771</v>
      </c>
      <c r="AB120" s="25">
        <v>0.12200872772364246</v>
      </c>
      <c r="AC120" s="25">
        <v>0.5047106295662771</v>
      </c>
    </row>
    <row r="121" spans="1:29" ht="13.5" thickBot="1" x14ac:dyDescent="0.25">
      <c r="S121" s="62" t="str">
        <f>Y128</f>
        <v>REER gap</v>
      </c>
      <c r="T121" s="62">
        <v>0.16519386729320923</v>
      </c>
      <c r="U121" s="62">
        <v>0.11871293084869748</v>
      </c>
      <c r="V121" s="62">
        <v>1.3915406359881117</v>
      </c>
      <c r="W121" s="62">
        <v>0.18102120766055146</v>
      </c>
      <c r="X121" s="62">
        <v>-8.4212745588429505E-2</v>
      </c>
      <c r="Y121" s="62">
        <v>0.41460048017484796</v>
      </c>
      <c r="Z121" s="62"/>
      <c r="AA121" s="62"/>
      <c r="AB121" s="62">
        <v>-8.4212745588429505E-2</v>
      </c>
      <c r="AC121" s="62">
        <v>0.41460048017484796</v>
      </c>
    </row>
    <row r="123" spans="1:29" x14ac:dyDescent="0.2">
      <c r="C123" s="56"/>
      <c r="D123" s="56"/>
      <c r="E123" s="56"/>
      <c r="F123" s="56"/>
      <c r="G123" s="56"/>
    </row>
    <row r="125" spans="1:29" x14ac:dyDescent="0.2">
      <c r="A125" s="26"/>
      <c r="B125" s="26"/>
      <c r="C125" s="58"/>
      <c r="D125" s="58"/>
      <c r="E125" s="65"/>
      <c r="F125" s="65"/>
      <c r="G125" s="65"/>
      <c r="H125" s="65"/>
      <c r="I125" s="65"/>
      <c r="K125" s="26"/>
      <c r="L125" s="26"/>
      <c r="M125" s="26"/>
      <c r="N125" s="26"/>
      <c r="O125" s="26"/>
      <c r="P125" s="26"/>
    </row>
    <row r="126" spans="1:29" x14ac:dyDescent="0.2">
      <c r="A126" s="26"/>
      <c r="B126" s="26"/>
      <c r="C126" s="58"/>
      <c r="D126" s="58"/>
      <c r="E126" s="65"/>
      <c r="F126" s="65"/>
      <c r="G126" s="65"/>
      <c r="H126" s="65"/>
      <c r="I126" s="65"/>
      <c r="K126" s="26"/>
      <c r="L126" s="26"/>
      <c r="M126" s="26"/>
      <c r="N126" s="26"/>
      <c r="O126" s="26"/>
      <c r="P126" s="26"/>
    </row>
    <row r="127" spans="1:29" x14ac:dyDescent="0.2">
      <c r="A127" s="26"/>
      <c r="B127" s="26"/>
      <c r="C127" s="58"/>
      <c r="D127" s="58"/>
      <c r="E127" s="65"/>
      <c r="F127" s="65"/>
      <c r="G127" s="65"/>
      <c r="H127" s="65"/>
      <c r="I127" s="65"/>
      <c r="K127" s="26"/>
      <c r="L127" s="26"/>
      <c r="M127" s="26"/>
      <c r="N127" s="26"/>
      <c r="O127" s="94" t="s">
        <v>73</v>
      </c>
      <c r="P127" s="94"/>
      <c r="Q127" s="94"/>
      <c r="R127" s="94"/>
      <c r="S127" s="94"/>
      <c r="T127" s="94"/>
      <c r="U127" s="94"/>
    </row>
    <row r="128" spans="1:29" x14ac:dyDescent="0.2">
      <c r="A128" s="26"/>
      <c r="B128" s="26"/>
      <c r="C128" s="58"/>
      <c r="D128" s="58"/>
      <c r="E128" s="65"/>
      <c r="F128" s="65"/>
      <c r="G128" s="65"/>
      <c r="H128" s="65"/>
      <c r="I128" s="65"/>
      <c r="K128" s="26"/>
      <c r="L128" s="26"/>
      <c r="M128" s="26"/>
      <c r="N128" s="26"/>
      <c r="O128" s="66" t="s">
        <v>74</v>
      </c>
      <c r="P128" s="67"/>
      <c r="Q128" s="67" t="s">
        <v>75</v>
      </c>
      <c r="R128" s="67" t="s">
        <v>42</v>
      </c>
      <c r="S128" s="67"/>
      <c r="T128" s="66" t="s">
        <v>76</v>
      </c>
      <c r="U128" s="67" t="s">
        <v>77</v>
      </c>
      <c r="V128" s="67" t="s">
        <v>78</v>
      </c>
      <c r="W128" s="67" t="s">
        <v>79</v>
      </c>
      <c r="X128" s="66" t="s">
        <v>74</v>
      </c>
      <c r="Y128" s="67" t="s">
        <v>42</v>
      </c>
      <c r="Z128" s="67"/>
      <c r="AA128" s="67"/>
    </row>
    <row r="129" spans="1:27" x14ac:dyDescent="0.2">
      <c r="A129" s="26"/>
      <c r="B129" s="26"/>
      <c r="C129" s="58"/>
      <c r="D129" s="58"/>
      <c r="E129" s="65"/>
      <c r="F129" s="65"/>
      <c r="G129" s="65"/>
      <c r="H129" s="65"/>
      <c r="I129" s="65"/>
      <c r="K129" s="26"/>
      <c r="L129" s="26"/>
      <c r="M129" s="26"/>
      <c r="N129" s="26">
        <v>2000</v>
      </c>
      <c r="O129" s="58">
        <v>-8.9246242673193592</v>
      </c>
      <c r="Q129" s="58">
        <v>-2.2966442873579922</v>
      </c>
      <c r="R129" s="58">
        <v>6.1239025046943425</v>
      </c>
      <c r="T129" s="58">
        <v>-0.81612188310759848</v>
      </c>
      <c r="U129" s="58">
        <v>6.8425429120785566</v>
      </c>
      <c r="V129" s="58">
        <v>-3.6529516580426389</v>
      </c>
      <c r="W129" s="58">
        <v>-13.399867553142599</v>
      </c>
      <c r="X129" s="58">
        <v>-8.9246242673193592</v>
      </c>
      <c r="Y129" s="58">
        <v>6.1239025046943425</v>
      </c>
      <c r="Z129" s="58"/>
      <c r="AA129" s="58"/>
    </row>
    <row r="130" spans="1:27" x14ac:dyDescent="0.2">
      <c r="A130" s="26"/>
      <c r="B130" s="26"/>
      <c r="C130" s="58"/>
      <c r="D130" s="58"/>
      <c r="E130" s="65"/>
      <c r="F130" s="65"/>
      <c r="G130" s="65"/>
      <c r="H130" s="65"/>
      <c r="I130" s="65"/>
      <c r="K130" s="26"/>
      <c r="L130" s="26"/>
      <c r="M130" s="26"/>
      <c r="N130" s="26">
        <v>2001</v>
      </c>
      <c r="O130" s="58">
        <v>-9.4350662665955269</v>
      </c>
      <c r="P130" s="58">
        <f>O129</f>
        <v>-8.9246242673193592</v>
      </c>
      <c r="Q130" s="58">
        <v>-6.8728605305421979</v>
      </c>
      <c r="R130" s="58">
        <v>5.2511651285032599</v>
      </c>
      <c r="T130" s="58">
        <v>-9.7656675152189791</v>
      </c>
      <c r="U130" s="58">
        <v>-3.9189571202937259</v>
      </c>
      <c r="V130" s="58">
        <v>-4.9149583346954842</v>
      </c>
      <c r="W130" s="58">
        <v>-1.4714911509310014</v>
      </c>
      <c r="X130" s="58">
        <v>-9.4350662665955269</v>
      </c>
      <c r="Y130" s="58">
        <v>5.2511651285032599</v>
      </c>
      <c r="Z130" s="58"/>
      <c r="AA130" s="58"/>
    </row>
    <row r="131" spans="1:27" x14ac:dyDescent="0.2">
      <c r="A131" s="26"/>
      <c r="B131" s="26"/>
      <c r="C131" s="58"/>
      <c r="D131" s="58"/>
      <c r="E131" s="65"/>
      <c r="F131" s="65"/>
      <c r="G131" s="65"/>
      <c r="H131" s="65"/>
      <c r="I131" s="65"/>
      <c r="K131" s="26"/>
      <c r="L131" s="26"/>
      <c r="M131" s="26"/>
      <c r="N131" s="26">
        <v>2002</v>
      </c>
      <c r="O131" s="58">
        <v>2.4032019550057839</v>
      </c>
      <c r="P131" s="58">
        <f t="shared" ref="P131:P151" si="8">O130</f>
        <v>-9.4350662665955269</v>
      </c>
      <c r="Q131" s="58">
        <v>-6.1056686843086254</v>
      </c>
      <c r="R131" s="58">
        <v>-2.0647023110564646</v>
      </c>
      <c r="T131" s="58">
        <v>-7.3418962221753645</v>
      </c>
      <c r="U131" s="58">
        <v>-4.3864229578765617</v>
      </c>
      <c r="V131" s="58">
        <v>-16.179909297139716</v>
      </c>
      <c r="W131" s="58">
        <v>-8.1702839614599725</v>
      </c>
      <c r="X131" s="58">
        <v>2.4032019550057839</v>
      </c>
      <c r="Y131" s="58">
        <v>-2.0647023110564646</v>
      </c>
      <c r="Z131" s="58"/>
      <c r="AA131" s="58"/>
    </row>
    <row r="132" spans="1:27" x14ac:dyDescent="0.2">
      <c r="A132" s="26"/>
      <c r="B132" s="26"/>
      <c r="C132" s="58"/>
      <c r="D132" s="58"/>
      <c r="E132" s="65"/>
      <c r="F132" s="65"/>
      <c r="G132" s="65"/>
      <c r="H132" s="65"/>
      <c r="I132" s="65"/>
      <c r="K132" s="26"/>
      <c r="L132" s="26"/>
      <c r="M132" s="26"/>
      <c r="N132" s="26">
        <v>2003</v>
      </c>
      <c r="O132" s="58">
        <v>10.41428460661632</v>
      </c>
      <c r="P132" s="58">
        <f t="shared" si="8"/>
        <v>2.4032019550057839</v>
      </c>
      <c r="Q132" s="58">
        <v>-1.8395868245426641</v>
      </c>
      <c r="R132" s="58">
        <v>-9.5110633136945921</v>
      </c>
      <c r="T132" s="58">
        <v>0.72282271443123136</v>
      </c>
      <c r="U132" s="58">
        <v>-2.2492665345331488</v>
      </c>
      <c r="V132" s="58">
        <v>-23.914124561246581</v>
      </c>
      <c r="W132" s="58">
        <v>6.218559547213431</v>
      </c>
      <c r="X132" s="58">
        <v>10.41428460661632</v>
      </c>
      <c r="Y132" s="58">
        <v>-9.5110633136945921</v>
      </c>
      <c r="Z132" s="58"/>
      <c r="AA132" s="58"/>
    </row>
    <row r="133" spans="1:27" x14ac:dyDescent="0.2">
      <c r="A133" s="26"/>
      <c r="B133" s="26"/>
      <c r="C133" s="58"/>
      <c r="D133" s="58"/>
      <c r="E133" s="65"/>
      <c r="F133" s="65"/>
      <c r="G133" s="65"/>
      <c r="H133" s="65"/>
      <c r="I133" s="65"/>
      <c r="K133" s="26"/>
      <c r="L133" s="26"/>
      <c r="M133" s="26"/>
      <c r="N133" s="26">
        <v>2004</v>
      </c>
      <c r="O133" s="58">
        <v>4.5662863542911509</v>
      </c>
      <c r="P133" s="58">
        <f t="shared" si="8"/>
        <v>10.41428460661632</v>
      </c>
      <c r="Q133" s="58">
        <v>-1.6571423235890279</v>
      </c>
      <c r="R133" s="58">
        <v>-5.570027095443038</v>
      </c>
      <c r="T133" s="58">
        <v>-1.1152024043772144</v>
      </c>
      <c r="U133" s="58">
        <v>-7.0984681729065642</v>
      </c>
      <c r="V133" s="58">
        <v>0.42282113972532898</v>
      </c>
      <c r="W133" s="58">
        <v>8.6909811255261502</v>
      </c>
      <c r="X133" s="58">
        <v>4.5662863542911509</v>
      </c>
      <c r="Y133" s="58">
        <v>-5.570027095443038</v>
      </c>
      <c r="Z133" s="58"/>
      <c r="AA133" s="58"/>
    </row>
    <row r="134" spans="1:27" x14ac:dyDescent="0.2">
      <c r="A134" s="26"/>
      <c r="B134" s="26"/>
      <c r="C134" s="58"/>
      <c r="D134" s="58"/>
      <c r="E134" s="65"/>
      <c r="F134" s="65"/>
      <c r="G134" s="65"/>
      <c r="H134" s="65"/>
      <c r="I134" s="65"/>
      <c r="K134" s="26"/>
      <c r="L134" s="26"/>
      <c r="M134" s="26"/>
      <c r="N134" s="26">
        <v>2005</v>
      </c>
      <c r="O134" s="58">
        <v>10.33452649366086</v>
      </c>
      <c r="P134" s="58">
        <f t="shared" si="8"/>
        <v>4.5662863542911509</v>
      </c>
      <c r="Q134" s="58">
        <v>-1.1565034945432444</v>
      </c>
      <c r="R134" s="58">
        <v>-3.2696465481789687</v>
      </c>
      <c r="T134" s="58">
        <v>4.1026398505870247</v>
      </c>
      <c r="U134" s="58">
        <v>-9.9072238149716441</v>
      </c>
      <c r="V134" s="58">
        <v>13.911619942086531</v>
      </c>
      <c r="W134" s="58">
        <v>18.338584562487767</v>
      </c>
      <c r="X134" s="58">
        <v>10.33452649366086</v>
      </c>
      <c r="Y134" s="58">
        <v>-3.2696465481789687</v>
      </c>
      <c r="Z134" s="58"/>
      <c r="AA134" s="58"/>
    </row>
    <row r="135" spans="1:27" x14ac:dyDescent="0.2">
      <c r="A135" s="26"/>
      <c r="B135" s="26"/>
      <c r="C135" s="58"/>
      <c r="D135" s="58"/>
      <c r="E135" s="65"/>
      <c r="F135" s="65"/>
      <c r="G135" s="65"/>
      <c r="H135" s="65"/>
      <c r="I135" s="65"/>
      <c r="K135" s="26"/>
      <c r="L135" s="26"/>
      <c r="M135" s="26"/>
      <c r="N135" s="26">
        <v>2006</v>
      </c>
      <c r="O135" s="58">
        <v>7.079641853464409</v>
      </c>
      <c r="P135" s="58">
        <f t="shared" si="8"/>
        <v>10.33452649366086</v>
      </c>
      <c r="Q135" s="58">
        <v>5.2029314259881403</v>
      </c>
      <c r="R135" s="58">
        <v>-1.3077125006628876</v>
      </c>
      <c r="T135" s="58">
        <v>13.07026685796734</v>
      </c>
      <c r="U135" s="58">
        <v>7.6716427309347637</v>
      </c>
      <c r="V135" s="58">
        <v>-4.6572049240858178</v>
      </c>
      <c r="W135" s="58">
        <v>15.589078188726717</v>
      </c>
      <c r="X135" s="58">
        <v>7.079641853464409</v>
      </c>
      <c r="Y135" s="58">
        <v>-1.3077125006628876</v>
      </c>
      <c r="Z135" s="58"/>
      <c r="AA135" s="58"/>
    </row>
    <row r="136" spans="1:27" x14ac:dyDescent="0.2">
      <c r="A136" s="26"/>
      <c r="B136" s="26"/>
      <c r="C136" s="58"/>
      <c r="D136" s="58"/>
      <c r="E136" s="65"/>
      <c r="F136" s="65"/>
      <c r="G136" s="65"/>
      <c r="H136" s="65"/>
      <c r="I136" s="65"/>
      <c r="K136" s="26"/>
      <c r="L136" s="26"/>
      <c r="M136" s="26"/>
      <c r="N136" s="26">
        <v>2007</v>
      </c>
      <c r="O136" s="58">
        <v>4.541985791413822</v>
      </c>
      <c r="P136" s="58">
        <f t="shared" si="8"/>
        <v>7.079641853464409</v>
      </c>
      <c r="Q136" s="58">
        <v>14.498657762414496</v>
      </c>
      <c r="R136" s="58">
        <v>-1.6413189405845969</v>
      </c>
      <c r="T136" s="58">
        <v>17.253469197449704</v>
      </c>
      <c r="U136" s="58">
        <v>6.4145989822217189</v>
      </c>
      <c r="V136" s="58">
        <v>28.941782226594228</v>
      </c>
      <c r="W136" s="58">
        <v>28.329973658098424</v>
      </c>
      <c r="X136" s="58">
        <v>4.541985791413822</v>
      </c>
      <c r="Y136" s="58">
        <v>-1.6413189405845969</v>
      </c>
      <c r="Z136" s="58"/>
      <c r="AA136" s="58"/>
    </row>
    <row r="137" spans="1:27" x14ac:dyDescent="0.2">
      <c r="A137" s="26"/>
      <c r="B137" s="26"/>
      <c r="C137" s="64"/>
      <c r="E137" s="68"/>
      <c r="F137" s="65"/>
      <c r="G137" s="65"/>
      <c r="H137" s="65"/>
      <c r="I137" s="65"/>
      <c r="N137" s="26">
        <v>2008</v>
      </c>
      <c r="O137" s="58">
        <v>-10.682249271305864</v>
      </c>
      <c r="P137" s="58">
        <f t="shared" si="8"/>
        <v>4.541985791413822</v>
      </c>
      <c r="Q137" s="58">
        <v>15.858442988697334</v>
      </c>
      <c r="R137" s="58">
        <v>4.7130927197570145</v>
      </c>
      <c r="T137" s="58">
        <v>11.933682464000867</v>
      </c>
      <c r="U137" s="58">
        <v>9.7315377714278384</v>
      </c>
      <c r="V137" s="58">
        <v>36.47575684773642</v>
      </c>
      <c r="W137" s="58">
        <v>7.1096478960475906</v>
      </c>
      <c r="X137" s="58">
        <v>-10.682249271305864</v>
      </c>
      <c r="Y137" s="58">
        <v>4.7130927197570145</v>
      </c>
      <c r="Z137" s="58"/>
      <c r="AA137" s="58"/>
    </row>
    <row r="138" spans="1:27" x14ac:dyDescent="0.2">
      <c r="N138" s="26">
        <v>2009</v>
      </c>
      <c r="O138" s="58">
        <v>-19.497645899313966</v>
      </c>
      <c r="P138" s="58">
        <f t="shared" si="8"/>
        <v>-10.682249271305864</v>
      </c>
      <c r="Q138" s="58">
        <v>-8.0661051017473255</v>
      </c>
      <c r="R138" s="58">
        <v>3.0227454631564683</v>
      </c>
      <c r="T138" s="58">
        <v>-17.321820953007546</v>
      </c>
      <c r="U138" s="58">
        <v>5.3048598275819359</v>
      </c>
      <c r="V138" s="58">
        <v>17.646154310758561</v>
      </c>
      <c r="W138" s="58">
        <v>-68.216202748826731</v>
      </c>
      <c r="X138" s="58">
        <v>-19.497645899313966</v>
      </c>
      <c r="Y138" s="58">
        <v>3.0227454631564683</v>
      </c>
      <c r="Z138" s="58"/>
      <c r="AA138" s="58"/>
    </row>
    <row r="139" spans="1:27" x14ac:dyDescent="0.2">
      <c r="N139" s="26">
        <v>2010</v>
      </c>
      <c r="O139" s="58">
        <v>-6.2954730961796486</v>
      </c>
      <c r="P139" s="58">
        <f t="shared" si="8"/>
        <v>-19.497645899313966</v>
      </c>
      <c r="Q139" s="58">
        <v>-3.1704833659609903</v>
      </c>
      <c r="R139" s="58">
        <v>-3.1017694591354257</v>
      </c>
      <c r="T139" s="58">
        <v>-11.210140486881642</v>
      </c>
      <c r="U139" s="58">
        <v>-1.9789848385549931</v>
      </c>
      <c r="V139" s="58">
        <v>1.2270282452326455</v>
      </c>
      <c r="W139" s="58">
        <v>-15.046822886014525</v>
      </c>
      <c r="X139" s="58">
        <v>-6.2954730961796486</v>
      </c>
      <c r="Y139" s="58">
        <v>-3.1017694591354257</v>
      </c>
      <c r="Z139" s="58"/>
      <c r="AA139" s="58"/>
    </row>
    <row r="140" spans="1:27" x14ac:dyDescent="0.2">
      <c r="C140" s="69"/>
      <c r="N140" s="26">
        <v>2011</v>
      </c>
      <c r="O140" s="58">
        <v>5.4276680936759476</v>
      </c>
      <c r="P140" s="58">
        <f t="shared" si="8"/>
        <v>-6.2954730961796486</v>
      </c>
      <c r="Q140" s="58">
        <v>4.6730043117654532</v>
      </c>
      <c r="R140" s="58">
        <v>4.9505801071275073</v>
      </c>
      <c r="T140" s="58">
        <v>-2.361404320845395</v>
      </c>
      <c r="U140" s="58">
        <v>1.9639758068140054</v>
      </c>
      <c r="V140" s="58">
        <v>-8.2164582037125911</v>
      </c>
      <c r="W140" s="58">
        <v>-5.7713579885642048</v>
      </c>
      <c r="X140" s="58">
        <v>5.4276680936759476</v>
      </c>
      <c r="Y140" s="58">
        <v>4.9505801071275073</v>
      </c>
      <c r="Z140" s="58"/>
      <c r="AA140" s="58"/>
    </row>
    <row r="141" spans="1:27" x14ac:dyDescent="0.2">
      <c r="I141" s="55"/>
      <c r="J141" s="55"/>
      <c r="K141" s="55"/>
      <c r="L141" s="55"/>
      <c r="M141" s="55"/>
      <c r="N141" s="26">
        <v>2012</v>
      </c>
      <c r="O141" s="58">
        <v>4.1654516975422666</v>
      </c>
      <c r="P141" s="58">
        <f t="shared" si="8"/>
        <v>5.4276680936759476</v>
      </c>
      <c r="Q141" s="58">
        <v>3.8523350720221288</v>
      </c>
      <c r="R141" s="58">
        <v>5.9310082727624263</v>
      </c>
      <c r="T141" s="58">
        <v>0.9920085008670867</v>
      </c>
      <c r="U141" s="58">
        <v>1.7063119852659838</v>
      </c>
      <c r="V141" s="58">
        <v>-10.058883558813136</v>
      </c>
      <c r="W141" s="58">
        <v>4.1948401470466479</v>
      </c>
      <c r="X141" s="58">
        <v>4.1654516975422666</v>
      </c>
      <c r="Y141" s="58">
        <v>5.9310082727624263</v>
      </c>
      <c r="Z141" s="58"/>
      <c r="AA141" s="58"/>
    </row>
    <row r="142" spans="1:27" x14ac:dyDescent="0.2">
      <c r="I142" s="55"/>
      <c r="J142" s="55"/>
      <c r="K142" s="55"/>
      <c r="L142" s="55"/>
      <c r="M142" s="55"/>
      <c r="N142" s="26">
        <v>2013</v>
      </c>
      <c r="O142" s="58">
        <v>12.525302908055892</v>
      </c>
      <c r="P142" s="58">
        <f t="shared" si="8"/>
        <v>4.1654516975422666</v>
      </c>
      <c r="Q142" s="58">
        <v>4.1143954058291001</v>
      </c>
      <c r="R142" s="58">
        <v>1.3476713389669044</v>
      </c>
      <c r="T142" s="58">
        <v>-3.7631727455445798</v>
      </c>
      <c r="U142" s="58">
        <v>7.196088988757765E-2</v>
      </c>
      <c r="V142" s="58">
        <v>-10.767164507094549</v>
      </c>
      <c r="W142" s="58">
        <v>-16.219936972855635</v>
      </c>
      <c r="X142" s="58">
        <v>12.525302908055892</v>
      </c>
      <c r="Y142" s="58">
        <v>1.3476713389669044</v>
      </c>
      <c r="Z142" s="58"/>
      <c r="AA142" s="58"/>
    </row>
    <row r="143" spans="1:27" x14ac:dyDescent="0.2">
      <c r="I143" s="55"/>
      <c r="J143" s="55"/>
      <c r="K143" s="55"/>
      <c r="L143" s="55"/>
      <c r="M143" s="55"/>
      <c r="N143" s="26">
        <v>2014</v>
      </c>
      <c r="O143" s="58">
        <v>2.8985395504905682</v>
      </c>
      <c r="P143" s="58">
        <f t="shared" si="8"/>
        <v>12.525302908055892</v>
      </c>
      <c r="Q143" s="58">
        <v>-2.4382384138184534</v>
      </c>
      <c r="R143" s="58">
        <v>2.9691247023295659</v>
      </c>
      <c r="T143" s="58">
        <v>3.2276723020888767</v>
      </c>
      <c r="U143" s="58">
        <v>1.5901248992944375</v>
      </c>
      <c r="V143" s="58">
        <v>-6.1931507267510142</v>
      </c>
      <c r="W143" s="58">
        <v>6.1128085807926027</v>
      </c>
      <c r="X143" s="58">
        <v>2.8985395504905682</v>
      </c>
      <c r="Y143" s="58">
        <v>2.9691247023295659</v>
      </c>
      <c r="Z143" s="58"/>
      <c r="AA143" s="58"/>
    </row>
    <row r="144" spans="1:27" x14ac:dyDescent="0.2">
      <c r="I144" s="55"/>
      <c r="J144" s="55"/>
      <c r="K144" s="55"/>
      <c r="L144" s="55"/>
      <c r="M144" s="55"/>
      <c r="N144" s="26">
        <v>2015</v>
      </c>
      <c r="O144" s="58">
        <v>-5.0540324466109041</v>
      </c>
      <c r="P144" s="58">
        <f t="shared" si="8"/>
        <v>2.8985395504905682</v>
      </c>
      <c r="Q144" s="58">
        <v>-8.1037150915185521</v>
      </c>
      <c r="R144" s="58">
        <v>-1.8485582111442795</v>
      </c>
      <c r="T144" s="58">
        <v>4.5529439604496247</v>
      </c>
      <c r="U144" s="58">
        <v>1.2662611079797443</v>
      </c>
      <c r="V144" s="58">
        <v>-5.7973435192837997</v>
      </c>
      <c r="W144" s="58">
        <v>9.1482810126282175</v>
      </c>
      <c r="X144" s="58">
        <v>-5.0540324466109041</v>
      </c>
      <c r="Y144" s="58">
        <v>-1.8485582111442795</v>
      </c>
      <c r="Z144" s="58"/>
      <c r="AA144" s="58"/>
    </row>
    <row r="145" spans="9:27" x14ac:dyDescent="0.2">
      <c r="I145" s="55"/>
      <c r="J145" s="55"/>
      <c r="K145" s="55"/>
      <c r="L145" s="55"/>
      <c r="M145" s="55"/>
      <c r="N145" s="26">
        <v>2016</v>
      </c>
      <c r="O145" s="58">
        <v>-5.2248179497837555</v>
      </c>
      <c r="P145" s="58">
        <f t="shared" si="8"/>
        <v>-5.0540324466109041</v>
      </c>
      <c r="Q145" s="58">
        <v>-5.8156385723380026</v>
      </c>
      <c r="R145" s="58">
        <v>1.521553206601709</v>
      </c>
      <c r="T145" s="58">
        <v>0.58424939634028306</v>
      </c>
      <c r="U145" s="58">
        <v>-8.7163613101023429</v>
      </c>
      <c r="V145" s="58">
        <v>0.77486425306585716</v>
      </c>
      <c r="W145" s="58">
        <v>18.190510229930851</v>
      </c>
      <c r="X145" s="58">
        <v>-5.2248179497837555</v>
      </c>
      <c r="Y145" s="58">
        <v>1.521553206601709</v>
      </c>
      <c r="Z145" s="58"/>
      <c r="AA145" s="58"/>
    </row>
    <row r="146" spans="9:27" x14ac:dyDescent="0.2">
      <c r="I146" s="55"/>
      <c r="J146" s="55"/>
      <c r="K146" s="55"/>
      <c r="L146" s="55"/>
      <c r="M146" s="55"/>
      <c r="N146" s="26">
        <v>2017</v>
      </c>
      <c r="O146" s="58">
        <v>-2.73196523878471</v>
      </c>
      <c r="P146" s="58">
        <f t="shared" si="8"/>
        <v>-5.2248179497837555</v>
      </c>
      <c r="Q146" s="58">
        <v>-0.70398875109640358</v>
      </c>
      <c r="R146" s="58">
        <v>-0.51537901207677805</v>
      </c>
      <c r="T146" s="58">
        <v>2.254135404537692</v>
      </c>
      <c r="U146" s="58">
        <v>-5.9976434394862963</v>
      </c>
      <c r="V146" s="58">
        <v>-1.838695672467793</v>
      </c>
      <c r="W146" s="58">
        <v>13.41719004364586</v>
      </c>
      <c r="X146" s="58">
        <v>-2.73196523878471</v>
      </c>
      <c r="Y146" s="58">
        <v>-0.51537901207677805</v>
      </c>
      <c r="Z146" s="58"/>
      <c r="AA146" s="58"/>
    </row>
    <row r="147" spans="9:27" x14ac:dyDescent="0.2">
      <c r="I147" s="55"/>
      <c r="J147" s="55"/>
      <c r="K147" s="55"/>
      <c r="L147" s="55"/>
      <c r="M147" s="55"/>
      <c r="N147" s="26">
        <v>2018</v>
      </c>
      <c r="O147" s="58">
        <v>5.0451069387403322</v>
      </c>
      <c r="P147" s="58">
        <f t="shared" si="8"/>
        <v>-2.73196523878471</v>
      </c>
      <c r="Q147" s="58">
        <v>2.537863785853915</v>
      </c>
      <c r="R147" s="58">
        <v>0.66741318854531073</v>
      </c>
      <c r="T147" s="58">
        <v>5.4026680793780315</v>
      </c>
      <c r="U147" s="58">
        <v>-5.0475871580481453</v>
      </c>
      <c r="V147" s="58">
        <v>-3.9062135599115209</v>
      </c>
      <c r="W147" s="58">
        <v>18.451084470495744</v>
      </c>
      <c r="X147" s="58">
        <v>5.0451069387403322</v>
      </c>
      <c r="Y147" s="58">
        <v>0.66741318854531073</v>
      </c>
      <c r="Z147" s="58"/>
      <c r="AA147" s="58"/>
    </row>
    <row r="148" spans="9:27" x14ac:dyDescent="0.2">
      <c r="I148" s="55"/>
      <c r="J148" s="55"/>
      <c r="K148" s="55"/>
      <c r="L148" s="55"/>
      <c r="M148" s="55"/>
      <c r="N148" s="26">
        <v>2019</v>
      </c>
      <c r="O148" s="58">
        <v>12.232959179717568</v>
      </c>
      <c r="P148" s="58">
        <f t="shared" si="8"/>
        <v>5.0451069387403322</v>
      </c>
      <c r="Q148" s="58">
        <v>3.3075184598793612</v>
      </c>
      <c r="R148" s="58">
        <v>-4.7491848212165451</v>
      </c>
      <c r="T148" s="58">
        <v>4.9707712458333617</v>
      </c>
      <c r="U148" s="58">
        <v>-3.0543840593495588</v>
      </c>
      <c r="V148" s="58">
        <v>-2.0259702515035087</v>
      </c>
      <c r="W148" s="58">
        <v>12.08952519595266</v>
      </c>
      <c r="X148" s="58">
        <v>12.232959179717568</v>
      </c>
      <c r="Y148" s="58">
        <v>-4.7491848212165451</v>
      </c>
      <c r="Z148" s="58"/>
      <c r="AA148" s="58"/>
    </row>
    <row r="149" spans="9:27" x14ac:dyDescent="0.2">
      <c r="I149" s="55"/>
      <c r="J149" s="55"/>
      <c r="K149" s="55"/>
      <c r="L149" s="55"/>
      <c r="M149" s="55"/>
      <c r="N149" s="26">
        <v>2020</v>
      </c>
      <c r="O149" s="58">
        <v>-9.9904323804262276</v>
      </c>
      <c r="P149" s="58">
        <f t="shared" si="8"/>
        <v>12.232959179717568</v>
      </c>
      <c r="Q149" s="58">
        <v>-4.8440952957466834</v>
      </c>
      <c r="R149" s="58">
        <v>-7.6313421782492128</v>
      </c>
      <c r="T149" s="58">
        <v>-11.210624050904585</v>
      </c>
      <c r="U149" s="58">
        <v>0.17501097831473089</v>
      </c>
      <c r="V149" s="58">
        <v>1.1558808686504563</v>
      </c>
      <c r="W149" s="58">
        <v>-3.882868066742958</v>
      </c>
      <c r="X149" s="58">
        <v>-9.9904323804262276</v>
      </c>
      <c r="Y149" s="58">
        <v>-7.6313421782492128</v>
      </c>
      <c r="Z149" s="58"/>
      <c r="AA149" s="58"/>
    </row>
    <row r="150" spans="9:27" x14ac:dyDescent="0.2">
      <c r="I150" s="55"/>
      <c r="J150" s="55"/>
      <c r="K150" s="55"/>
      <c r="L150" s="55"/>
      <c r="M150" s="55"/>
      <c r="N150" s="26">
        <v>2021</v>
      </c>
      <c r="O150" s="58">
        <v>-5.9613068940416269</v>
      </c>
      <c r="P150" s="58">
        <f t="shared" si="8"/>
        <v>-9.9904323804262276</v>
      </c>
      <c r="Q150" s="58">
        <v>-1.1250029239279229</v>
      </c>
      <c r="R150" s="58">
        <v>-6.0866002618550397</v>
      </c>
      <c r="T150" s="58">
        <v>-5.4717262789866936</v>
      </c>
      <c r="U150" s="58">
        <v>8.3902890435260815</v>
      </c>
      <c r="V150" s="58">
        <v>4.9771620610900982</v>
      </c>
      <c r="W150" s="58">
        <v>-27.740221227512507</v>
      </c>
      <c r="X150" s="58">
        <v>-5.9613068940416269</v>
      </c>
      <c r="Y150" s="58">
        <v>-6.0866002618550397</v>
      </c>
      <c r="Z150" s="58"/>
      <c r="AA150" s="58"/>
    </row>
    <row r="151" spans="9:27" x14ac:dyDescent="0.2">
      <c r="I151" s="55"/>
      <c r="J151" s="55"/>
      <c r="K151" s="55"/>
      <c r="L151" s="55"/>
      <c r="M151" s="55"/>
      <c r="N151" s="26">
        <v>2022</v>
      </c>
      <c r="O151" s="58">
        <v>2.1626582877910323</v>
      </c>
      <c r="P151" s="58">
        <f t="shared" si="8"/>
        <v>-5.9613068940416269</v>
      </c>
      <c r="Q151" s="58">
        <v>0.15052444866000769</v>
      </c>
      <c r="R151" s="58">
        <v>10.79904802091653</v>
      </c>
      <c r="T151" s="58">
        <v>1.3104468872421648</v>
      </c>
      <c r="U151" s="58">
        <v>1.2261824709298708</v>
      </c>
      <c r="V151" s="58">
        <v>-3.4100411200872713</v>
      </c>
      <c r="W151" s="58">
        <v>-5.9620121024227046</v>
      </c>
      <c r="X151" s="58">
        <v>2.1626582877910323</v>
      </c>
      <c r="Y151" s="58">
        <v>10.79904802091653</v>
      </c>
      <c r="Z151" s="58"/>
      <c r="AA151" s="58"/>
    </row>
    <row r="152" spans="9:27" x14ac:dyDescent="0.2">
      <c r="I152" s="55"/>
      <c r="J152" s="55"/>
      <c r="K152" s="55"/>
      <c r="L152" s="55"/>
      <c r="M152" s="55"/>
      <c r="N152" s="26">
        <v>2023</v>
      </c>
      <c r="O152" s="55"/>
      <c r="P152" s="55"/>
    </row>
    <row r="153" spans="9:27" x14ac:dyDescent="0.2">
      <c r="I153" s="55"/>
      <c r="J153" s="55"/>
      <c r="K153" s="55"/>
      <c r="L153" s="55"/>
      <c r="M153" s="55"/>
      <c r="N153" s="26">
        <v>2024</v>
      </c>
      <c r="O153" s="55"/>
      <c r="P153" s="55"/>
    </row>
    <row r="154" spans="9:27" x14ac:dyDescent="0.2">
      <c r="I154" s="55"/>
      <c r="J154" s="55"/>
      <c r="K154" s="55"/>
      <c r="L154" s="55"/>
      <c r="M154" s="55"/>
      <c r="N154" s="55"/>
      <c r="O154" s="55"/>
      <c r="P154" s="55"/>
    </row>
    <row r="155" spans="9:27" x14ac:dyDescent="0.2">
      <c r="I155" s="55"/>
      <c r="J155" s="55"/>
      <c r="K155" s="55"/>
      <c r="L155" s="55"/>
      <c r="M155" s="55"/>
      <c r="N155" s="55"/>
      <c r="O155" s="55"/>
      <c r="P155" s="55"/>
    </row>
    <row r="163" spans="19:24" x14ac:dyDescent="0.2">
      <c r="S163" s="70"/>
    </row>
    <row r="164" spans="19:24" x14ac:dyDescent="0.2">
      <c r="S164" s="70"/>
    </row>
    <row r="174" spans="19:24" x14ac:dyDescent="0.2">
      <c r="W174" s="58"/>
      <c r="X174" s="58"/>
    </row>
    <row r="175" spans="19:24" x14ac:dyDescent="0.2">
      <c r="W175" s="58"/>
      <c r="X175" s="58"/>
    </row>
    <row r="176" spans="19:24" x14ac:dyDescent="0.2">
      <c r="W176" s="58"/>
      <c r="X176" s="58"/>
    </row>
    <row r="180" spans="3:31" x14ac:dyDescent="0.2"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E180" s="72"/>
    </row>
    <row r="230" spans="1:34" x14ac:dyDescent="0.2">
      <c r="A230" s="26"/>
      <c r="B230" s="26"/>
      <c r="C230" s="73"/>
      <c r="D230" s="73"/>
      <c r="E230" s="73"/>
      <c r="F230" s="73"/>
      <c r="G230" s="73"/>
      <c r="H230" s="73"/>
      <c r="I230" s="73"/>
      <c r="J230" s="95"/>
      <c r="K230" s="96"/>
      <c r="L230" s="96"/>
      <c r="M230" s="96"/>
      <c r="N230" s="96"/>
      <c r="O230" s="96"/>
      <c r="P230" s="96"/>
      <c r="Q230" s="26"/>
      <c r="R230" s="74"/>
      <c r="S230" s="26"/>
      <c r="V230" s="26"/>
      <c r="W230" s="26"/>
      <c r="X230" s="26"/>
      <c r="Y230" s="26"/>
      <c r="Z230" s="26"/>
      <c r="AA230" s="26"/>
      <c r="AB230" s="95"/>
      <c r="AC230" s="96"/>
      <c r="AD230" s="96"/>
      <c r="AE230" s="96"/>
      <c r="AF230" s="96"/>
      <c r="AG230" s="96"/>
      <c r="AH230" s="96"/>
    </row>
    <row r="231" spans="1:34" x14ac:dyDescent="0.2">
      <c r="A231" s="26"/>
      <c r="B231" s="26"/>
      <c r="C231" s="75"/>
      <c r="D231" s="76"/>
      <c r="E231" s="75"/>
      <c r="F231" s="75"/>
      <c r="G231" s="75"/>
      <c r="H231" s="75"/>
      <c r="I231" s="75"/>
      <c r="J231" s="75"/>
      <c r="K231" s="75"/>
      <c r="L231" s="76"/>
      <c r="M231" s="75"/>
      <c r="N231" s="75"/>
      <c r="O231" s="75"/>
      <c r="P231" s="75"/>
      <c r="Q231" s="26"/>
      <c r="S231" s="26"/>
      <c r="T231" s="26"/>
      <c r="U231" s="26"/>
      <c r="V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</row>
    <row r="232" spans="1:34" x14ac:dyDescent="0.2">
      <c r="A232" s="26"/>
      <c r="B232" s="26"/>
      <c r="C232" s="26"/>
      <c r="D232" s="26"/>
      <c r="E232" s="26"/>
      <c r="F232" s="26"/>
      <c r="G232" s="26"/>
      <c r="H232" s="26"/>
      <c r="I232" s="26"/>
      <c r="J232" s="65"/>
      <c r="K232" s="65"/>
      <c r="L232" s="65"/>
      <c r="M232" s="65"/>
      <c r="N232" s="65"/>
      <c r="O232" s="65"/>
      <c r="P232" s="65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77"/>
      <c r="AC232" s="77"/>
      <c r="AD232" s="77"/>
      <c r="AE232" s="77"/>
      <c r="AF232" s="77"/>
      <c r="AG232" s="77"/>
      <c r="AH232" s="77"/>
    </row>
    <row r="233" spans="1:34" x14ac:dyDescent="0.2">
      <c r="A233" s="26"/>
      <c r="B233" s="26"/>
      <c r="C233" s="26"/>
      <c r="D233" s="26"/>
      <c r="E233" s="26"/>
      <c r="F233" s="26"/>
      <c r="G233" s="26"/>
      <c r="H233" s="26"/>
      <c r="I233" s="26"/>
      <c r="J233" s="65"/>
      <c r="K233" s="65"/>
      <c r="L233" s="65"/>
      <c r="M233" s="65"/>
      <c r="N233" s="65"/>
      <c r="O233" s="65"/>
      <c r="P233" s="65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77"/>
      <c r="AC233" s="77"/>
      <c r="AD233" s="77"/>
      <c r="AE233" s="77"/>
      <c r="AF233" s="77"/>
      <c r="AG233" s="77"/>
      <c r="AH233" s="77"/>
    </row>
    <row r="234" spans="1:34" x14ac:dyDescent="0.2">
      <c r="A234" s="26"/>
      <c r="B234" s="26"/>
      <c r="C234" s="26"/>
      <c r="D234" s="26"/>
      <c r="E234" s="26"/>
      <c r="F234" s="26"/>
      <c r="G234" s="26"/>
      <c r="H234" s="26"/>
      <c r="I234" s="26"/>
      <c r="J234" s="65"/>
      <c r="K234" s="65"/>
      <c r="L234" s="65"/>
      <c r="M234" s="65"/>
      <c r="N234" s="65"/>
      <c r="O234" s="65"/>
      <c r="P234" s="65"/>
      <c r="Q234" s="26"/>
      <c r="R234" s="26"/>
      <c r="S234" s="26"/>
      <c r="T234" s="78"/>
      <c r="U234" s="26"/>
      <c r="V234" s="26"/>
      <c r="W234" s="26"/>
      <c r="X234" s="26"/>
      <c r="Y234" s="78"/>
      <c r="Z234" s="78"/>
      <c r="AA234" s="78"/>
      <c r="AB234" s="77"/>
      <c r="AC234" s="77"/>
      <c r="AD234" s="77"/>
      <c r="AE234" s="77"/>
      <c r="AF234" s="77"/>
      <c r="AG234" s="77"/>
      <c r="AH234" s="77"/>
    </row>
    <row r="235" spans="1:34" x14ac:dyDescent="0.2">
      <c r="A235" s="26"/>
      <c r="B235" s="26"/>
      <c r="C235" s="26"/>
      <c r="D235" s="26"/>
      <c r="E235" s="26"/>
      <c r="F235" s="26"/>
      <c r="G235" s="26"/>
      <c r="H235" s="26"/>
      <c r="I235" s="26"/>
      <c r="J235" s="65"/>
      <c r="K235" s="65"/>
      <c r="L235" s="65"/>
      <c r="M235" s="65"/>
      <c r="N235" s="65"/>
      <c r="O235" s="65"/>
      <c r="P235" s="65"/>
      <c r="Q235" s="26"/>
      <c r="R235" s="26"/>
      <c r="S235" s="26"/>
      <c r="T235" s="78"/>
      <c r="U235" s="26"/>
      <c r="V235" s="26"/>
      <c r="W235" s="26"/>
      <c r="X235" s="26"/>
      <c r="Y235" s="78"/>
      <c r="Z235" s="78"/>
      <c r="AA235" s="78"/>
      <c r="AB235" s="77"/>
      <c r="AC235" s="77"/>
      <c r="AD235" s="77"/>
      <c r="AE235" s="77"/>
      <c r="AF235" s="77"/>
      <c r="AG235" s="77"/>
      <c r="AH235" s="77"/>
    </row>
    <row r="236" spans="1:34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65"/>
      <c r="K236" s="65"/>
      <c r="L236" s="65"/>
      <c r="M236" s="65"/>
      <c r="N236" s="65"/>
      <c r="O236" s="65"/>
      <c r="P236" s="65"/>
      <c r="Q236" s="26"/>
      <c r="R236" s="26"/>
      <c r="S236" s="26"/>
      <c r="T236" s="78"/>
      <c r="U236" s="26"/>
      <c r="V236" s="26"/>
      <c r="W236" s="26"/>
      <c r="X236" s="26"/>
      <c r="Y236" s="78"/>
      <c r="Z236" s="78"/>
      <c r="AA236" s="78"/>
      <c r="AB236" s="77"/>
      <c r="AC236" s="77"/>
      <c r="AD236" s="77"/>
      <c r="AE236" s="77"/>
      <c r="AF236" s="77"/>
      <c r="AG236" s="77"/>
      <c r="AH236" s="77"/>
    </row>
    <row r="237" spans="1:34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65"/>
      <c r="K237" s="65"/>
      <c r="L237" s="65"/>
      <c r="M237" s="65"/>
      <c r="N237" s="65"/>
      <c r="O237" s="65"/>
      <c r="P237" s="65"/>
      <c r="Q237" s="26"/>
      <c r="R237" s="26"/>
      <c r="S237" s="26"/>
      <c r="T237" s="78"/>
      <c r="U237" s="26"/>
      <c r="V237" s="26"/>
      <c r="W237" s="26"/>
      <c r="X237" s="26"/>
      <c r="Y237" s="78"/>
      <c r="Z237" s="78"/>
      <c r="AA237" s="78"/>
      <c r="AB237" s="77"/>
      <c r="AC237" s="77"/>
      <c r="AD237" s="77"/>
      <c r="AE237" s="77"/>
      <c r="AF237" s="77"/>
      <c r="AG237" s="77"/>
      <c r="AH237" s="77"/>
    </row>
    <row r="238" spans="1:34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65"/>
      <c r="K238" s="65"/>
      <c r="L238" s="65"/>
      <c r="M238" s="65"/>
      <c r="N238" s="65"/>
      <c r="O238" s="65"/>
      <c r="P238" s="65"/>
      <c r="Q238" s="26"/>
      <c r="R238" s="26"/>
      <c r="S238" s="26"/>
      <c r="T238" s="78"/>
      <c r="U238" s="26"/>
      <c r="V238" s="26"/>
      <c r="W238" s="26"/>
      <c r="X238" s="26"/>
      <c r="Y238" s="78"/>
      <c r="Z238" s="78"/>
      <c r="AA238" s="78"/>
      <c r="AB238" s="77"/>
      <c r="AC238" s="77"/>
      <c r="AD238" s="77"/>
      <c r="AE238" s="77"/>
      <c r="AF238" s="77"/>
      <c r="AG238" s="77"/>
      <c r="AH238" s="77"/>
    </row>
    <row r="239" spans="1:34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65"/>
      <c r="K239" s="65"/>
      <c r="L239" s="65"/>
      <c r="M239" s="65"/>
      <c r="N239" s="65"/>
      <c r="O239" s="65"/>
      <c r="P239" s="65"/>
      <c r="Q239" s="26"/>
      <c r="R239" s="26"/>
      <c r="S239" s="26"/>
      <c r="T239" s="78"/>
      <c r="U239" s="26"/>
      <c r="V239" s="26"/>
      <c r="W239" s="26"/>
      <c r="X239" s="26"/>
      <c r="Y239" s="78"/>
      <c r="Z239" s="78"/>
      <c r="AA239" s="78"/>
      <c r="AB239" s="77"/>
      <c r="AC239" s="77"/>
      <c r="AD239" s="77"/>
      <c r="AE239" s="77"/>
      <c r="AF239" s="77"/>
      <c r="AG239" s="77"/>
      <c r="AH239" s="77"/>
    </row>
    <row r="240" spans="1:34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65"/>
      <c r="K240" s="65"/>
      <c r="L240" s="65"/>
      <c r="M240" s="65"/>
      <c r="N240" s="65"/>
      <c r="O240" s="65"/>
      <c r="P240" s="65"/>
      <c r="Q240" s="26"/>
      <c r="R240" s="26"/>
      <c r="S240" s="26"/>
      <c r="T240" s="78"/>
      <c r="U240" s="26"/>
      <c r="V240" s="26"/>
      <c r="W240" s="26"/>
      <c r="X240" s="26"/>
      <c r="Y240" s="78"/>
      <c r="Z240" s="78"/>
      <c r="AA240" s="78"/>
      <c r="AB240" s="77"/>
      <c r="AC240" s="77"/>
      <c r="AD240" s="77"/>
      <c r="AE240" s="77"/>
      <c r="AF240" s="77"/>
      <c r="AG240" s="77"/>
      <c r="AH240" s="77"/>
    </row>
    <row r="241" spans="1:34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65"/>
      <c r="K241" s="65"/>
      <c r="L241" s="65"/>
      <c r="M241" s="65"/>
      <c r="N241" s="65"/>
      <c r="O241" s="65"/>
      <c r="P241" s="65"/>
      <c r="Q241" s="26"/>
      <c r="R241" s="26"/>
      <c r="S241" s="26"/>
      <c r="T241" s="78"/>
      <c r="U241" s="26"/>
      <c r="V241" s="26"/>
      <c r="W241" s="26"/>
      <c r="X241" s="26"/>
      <c r="Y241" s="78"/>
      <c r="Z241" s="78"/>
      <c r="AA241" s="78"/>
      <c r="AB241" s="77"/>
      <c r="AC241" s="77"/>
      <c r="AD241" s="77"/>
      <c r="AE241" s="77"/>
      <c r="AF241" s="77"/>
      <c r="AG241" s="77"/>
      <c r="AH241" s="77"/>
    </row>
    <row r="242" spans="1:34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65"/>
      <c r="K242" s="65"/>
      <c r="L242" s="65"/>
      <c r="M242" s="65"/>
      <c r="N242" s="65"/>
      <c r="O242" s="65"/>
      <c r="P242" s="65"/>
      <c r="Q242" s="26"/>
      <c r="R242" s="26"/>
      <c r="S242" s="26"/>
      <c r="T242" s="78"/>
      <c r="U242" s="26"/>
      <c r="V242" s="26"/>
      <c r="W242" s="26"/>
      <c r="X242" s="26"/>
      <c r="Y242" s="78"/>
      <c r="Z242" s="78"/>
      <c r="AA242" s="78"/>
      <c r="AB242" s="77"/>
      <c r="AC242" s="77"/>
      <c r="AD242" s="77"/>
      <c r="AE242" s="77"/>
      <c r="AF242" s="77"/>
      <c r="AG242" s="77"/>
      <c r="AH242" s="77"/>
    </row>
    <row r="243" spans="1:34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65"/>
      <c r="K243" s="65"/>
      <c r="L243" s="65"/>
      <c r="M243" s="65"/>
      <c r="N243" s="65"/>
      <c r="O243" s="65"/>
      <c r="P243" s="65"/>
      <c r="Q243" s="26"/>
      <c r="R243" s="26"/>
      <c r="S243" s="26"/>
      <c r="T243" s="78"/>
      <c r="U243" s="26"/>
      <c r="V243" s="26"/>
      <c r="W243" s="26"/>
      <c r="X243" s="26"/>
      <c r="Y243" s="78"/>
      <c r="Z243" s="78"/>
      <c r="AA243" s="78"/>
      <c r="AB243" s="77"/>
      <c r="AC243" s="77"/>
      <c r="AD243" s="77"/>
      <c r="AE243" s="77"/>
      <c r="AF243" s="77"/>
      <c r="AG243" s="77"/>
      <c r="AH243" s="77"/>
    </row>
    <row r="244" spans="1:34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65"/>
      <c r="K244" s="65"/>
      <c r="L244" s="65"/>
      <c r="M244" s="65"/>
      <c r="N244" s="65"/>
      <c r="O244" s="65"/>
      <c r="P244" s="65"/>
      <c r="Q244" s="26"/>
      <c r="R244" s="26"/>
      <c r="S244" s="26"/>
      <c r="T244" s="78"/>
      <c r="U244" s="26"/>
      <c r="V244" s="26"/>
      <c r="W244" s="26"/>
      <c r="X244" s="26"/>
      <c r="Y244" s="78"/>
      <c r="Z244" s="78"/>
      <c r="AA244" s="78"/>
      <c r="AB244" s="77"/>
      <c r="AC244" s="77"/>
      <c r="AD244" s="77"/>
      <c r="AE244" s="77"/>
      <c r="AF244" s="77"/>
      <c r="AG244" s="77"/>
      <c r="AH244" s="77"/>
    </row>
    <row r="245" spans="1:34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65"/>
      <c r="K245" s="65"/>
      <c r="L245" s="65"/>
      <c r="M245" s="65"/>
      <c r="N245" s="65"/>
      <c r="O245" s="65"/>
      <c r="P245" s="65"/>
      <c r="Q245" s="26"/>
      <c r="R245" s="26"/>
      <c r="S245" s="26"/>
      <c r="T245" s="78"/>
      <c r="U245" s="26"/>
      <c r="V245" s="26"/>
      <c r="W245" s="26"/>
      <c r="X245" s="26"/>
      <c r="Y245" s="78"/>
      <c r="Z245" s="78"/>
      <c r="AA245" s="78"/>
      <c r="AB245" s="77"/>
      <c r="AC245" s="77"/>
      <c r="AD245" s="77"/>
      <c r="AE245" s="77"/>
      <c r="AF245" s="77"/>
      <c r="AG245" s="77"/>
      <c r="AH245" s="77"/>
    </row>
    <row r="246" spans="1:34" x14ac:dyDescent="0.2">
      <c r="A246" s="26"/>
      <c r="B246" s="26"/>
      <c r="C246" s="26"/>
      <c r="D246" s="26"/>
      <c r="E246" s="58"/>
      <c r="F246" s="26"/>
      <c r="G246" s="26"/>
      <c r="H246" s="26"/>
      <c r="I246" s="26"/>
      <c r="J246" s="65"/>
      <c r="K246" s="59"/>
      <c r="L246" s="65"/>
      <c r="M246" s="65"/>
      <c r="N246" s="65"/>
      <c r="O246" s="65"/>
      <c r="P246" s="65"/>
      <c r="Q246" s="26"/>
      <c r="R246" s="26"/>
      <c r="S246" s="26"/>
      <c r="T246" s="78"/>
      <c r="U246" s="26"/>
      <c r="V246" s="26"/>
      <c r="W246" s="26"/>
      <c r="X246" s="26"/>
      <c r="Y246" s="78"/>
      <c r="Z246" s="78"/>
      <c r="AA246" s="78"/>
      <c r="AB246" s="77"/>
      <c r="AC246" s="77"/>
      <c r="AD246" s="77"/>
      <c r="AE246" s="77"/>
      <c r="AF246" s="77"/>
      <c r="AG246" s="77"/>
      <c r="AH246" s="77"/>
    </row>
    <row r="247" spans="1:34" x14ac:dyDescent="0.2">
      <c r="A247" s="26"/>
      <c r="B247" s="26"/>
      <c r="C247" s="79"/>
      <c r="D247" s="58"/>
      <c r="E247" s="58"/>
      <c r="F247" s="26"/>
      <c r="G247" s="26"/>
      <c r="H247" s="26"/>
      <c r="I247" s="26"/>
      <c r="J247" s="77"/>
      <c r="K247" s="77"/>
      <c r="L247" s="65"/>
      <c r="M247" s="65"/>
      <c r="N247" s="65"/>
      <c r="O247" s="65"/>
      <c r="P247" s="65"/>
      <c r="Q247" s="26"/>
      <c r="R247" s="80"/>
      <c r="S247" s="80"/>
      <c r="T247" s="80"/>
      <c r="U247" s="80"/>
      <c r="V247" s="80"/>
      <c r="W247" s="80"/>
      <c r="X247" s="80"/>
      <c r="Y247" s="78"/>
      <c r="Z247" s="78"/>
      <c r="AA247" s="78"/>
      <c r="AB247" s="77"/>
      <c r="AC247" s="77"/>
      <c r="AD247" s="77"/>
      <c r="AE247" s="77"/>
      <c r="AF247" s="77"/>
      <c r="AG247" s="77"/>
      <c r="AH247" s="77"/>
    </row>
    <row r="249" spans="1:34" x14ac:dyDescent="0.2">
      <c r="C249" s="81"/>
    </row>
  </sheetData>
  <mergeCells count="9">
    <mergeCell ref="O127:U127"/>
    <mergeCell ref="J230:P230"/>
    <mergeCell ref="AB230:AH230"/>
    <mergeCell ref="O65:Q68"/>
    <mergeCell ref="U65:U68"/>
    <mergeCell ref="O72:O73"/>
    <mergeCell ref="R72:R73"/>
    <mergeCell ref="U75:V76"/>
    <mergeCell ref="W75:Y7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Views>
    <sheetView zoomScale="70" zoomScaleNormal="70" workbookViewId="0">
      <selection activeCell="F21" sqref="F21"/>
    </sheetView>
  </sheetViews>
  <sheetFormatPr defaultRowHeight="15" x14ac:dyDescent="0.25"/>
  <cols>
    <col min="1" max="1" width="13.7109375" style="91" bestFit="1" customWidth="1"/>
    <col min="2" max="16384" width="9.140625" style="91"/>
  </cols>
  <sheetData>
    <row r="1" spans="1:48" x14ac:dyDescent="0.25">
      <c r="B1" s="91">
        <v>1978</v>
      </c>
      <c r="C1" s="91">
        <v>1979</v>
      </c>
      <c r="D1" s="91">
        <v>1980</v>
      </c>
      <c r="E1" s="91">
        <v>1981</v>
      </c>
      <c r="F1" s="91">
        <v>1982</v>
      </c>
      <c r="G1" s="91">
        <v>1983</v>
      </c>
      <c r="H1" s="91">
        <v>1984</v>
      </c>
      <c r="I1" s="91">
        <v>1985</v>
      </c>
      <c r="J1" s="91">
        <v>1986</v>
      </c>
      <c r="K1" s="91">
        <v>1987</v>
      </c>
      <c r="L1" s="91">
        <v>1988</v>
      </c>
      <c r="M1" s="91">
        <v>1989</v>
      </c>
      <c r="N1" s="91">
        <v>1990</v>
      </c>
      <c r="O1" s="91">
        <v>1991</v>
      </c>
      <c r="P1" s="91">
        <v>1992</v>
      </c>
      <c r="Q1" s="91">
        <v>1993</v>
      </c>
      <c r="R1" s="91">
        <v>1994</v>
      </c>
      <c r="S1" s="91">
        <v>1995</v>
      </c>
      <c r="T1" s="91">
        <v>1996</v>
      </c>
      <c r="U1" s="91">
        <v>1997</v>
      </c>
      <c r="V1" s="91">
        <v>1998</v>
      </c>
      <c r="W1" s="91">
        <v>1999</v>
      </c>
      <c r="X1" s="91">
        <v>2000</v>
      </c>
      <c r="Y1" s="91">
        <v>2001</v>
      </c>
      <c r="Z1" s="91">
        <v>2002</v>
      </c>
      <c r="AA1" s="91">
        <v>2003</v>
      </c>
      <c r="AB1" s="91">
        <v>2004</v>
      </c>
      <c r="AC1" s="91">
        <v>2005</v>
      </c>
      <c r="AD1" s="91">
        <v>2006</v>
      </c>
      <c r="AE1" s="91">
        <v>2007</v>
      </c>
      <c r="AF1" s="91">
        <v>2008</v>
      </c>
      <c r="AG1" s="91">
        <v>2009</v>
      </c>
      <c r="AH1" s="91">
        <v>2010</v>
      </c>
      <c r="AI1" s="91">
        <v>2011</v>
      </c>
      <c r="AJ1" s="91">
        <v>2012</v>
      </c>
      <c r="AK1" s="91">
        <v>2013</v>
      </c>
      <c r="AL1" s="91">
        <v>2014</v>
      </c>
      <c r="AM1" s="91">
        <v>2015</v>
      </c>
      <c r="AN1" s="91">
        <v>2016</v>
      </c>
      <c r="AO1" s="91">
        <v>2017</v>
      </c>
      <c r="AP1" s="91">
        <v>2018</v>
      </c>
      <c r="AQ1" s="91">
        <v>2019</v>
      </c>
      <c r="AR1" s="91">
        <v>2020</v>
      </c>
      <c r="AS1" s="91">
        <v>2021</v>
      </c>
      <c r="AT1" s="91">
        <v>2022</v>
      </c>
      <c r="AU1" s="91">
        <v>2023</v>
      </c>
      <c r="AV1" s="91">
        <v>2024</v>
      </c>
    </row>
    <row r="2" spans="1:48" x14ac:dyDescent="0.25">
      <c r="A2" s="90" t="s">
        <v>94</v>
      </c>
      <c r="B2" s="91">
        <v>107831.55172565499</v>
      </c>
      <c r="C2" s="91">
        <v>107939.383273195</v>
      </c>
      <c r="D2" s="91">
        <v>112149.019228337</v>
      </c>
      <c r="E2" s="91">
        <v>118877.960377264</v>
      </c>
      <c r="F2" s="91">
        <v>126010.637997276</v>
      </c>
      <c r="G2" s="91">
        <v>125884.62737012201</v>
      </c>
      <c r="H2" s="91">
        <v>128905.85842719801</v>
      </c>
      <c r="I2" s="91">
        <v>129937.105285253</v>
      </c>
      <c r="J2" s="91">
        <v>129287.419757989</v>
      </c>
      <c r="K2" s="91">
        <v>121788.749421342</v>
      </c>
      <c r="L2" s="91">
        <v>114953.376471136</v>
      </c>
      <c r="M2" s="91">
        <v>100103.457047886</v>
      </c>
      <c r="N2" s="91">
        <v>91327.158276560906</v>
      </c>
      <c r="O2" s="91">
        <v>92723.399373392895</v>
      </c>
      <c r="P2" s="91">
        <v>96369.230349689198</v>
      </c>
      <c r="Q2" s="91">
        <v>103670.469580847</v>
      </c>
      <c r="R2" s="91">
        <v>107721.62168909299</v>
      </c>
      <c r="S2" s="91">
        <v>102498.090221434</v>
      </c>
      <c r="T2" s="91">
        <v>100417.60491299799</v>
      </c>
      <c r="U2" s="91">
        <v>100039.34393489199</v>
      </c>
      <c r="V2" s="91">
        <v>102501.560276605</v>
      </c>
      <c r="W2" s="91">
        <v>107850.288339116</v>
      </c>
      <c r="X2" s="91">
        <v>114000.948648176</v>
      </c>
      <c r="Y2" s="91">
        <v>116669.87043462999</v>
      </c>
      <c r="Z2" s="91">
        <v>128836.358189579</v>
      </c>
      <c r="AA2" s="91">
        <v>134850.61287665</v>
      </c>
      <c r="AB2" s="91">
        <v>145677.53451331801</v>
      </c>
      <c r="AC2" s="91">
        <v>156215.56781586201</v>
      </c>
      <c r="AD2" s="91">
        <v>170755.29869935301</v>
      </c>
      <c r="AE2" s="91">
        <v>161334.02401577699</v>
      </c>
      <c r="AF2" s="91">
        <v>155040.01797438599</v>
      </c>
      <c r="AG2" s="91">
        <v>162043.31327857799</v>
      </c>
      <c r="AH2" s="91">
        <v>165162.61826896601</v>
      </c>
      <c r="AI2" s="91">
        <v>165608.50787627601</v>
      </c>
      <c r="AJ2" s="91">
        <v>172432.65846169199</v>
      </c>
      <c r="AK2" s="91">
        <v>177882.41755498399</v>
      </c>
      <c r="AL2" s="91">
        <v>182965.49916369101</v>
      </c>
      <c r="AM2" s="91">
        <v>197962.278752777</v>
      </c>
      <c r="AN2" s="91">
        <v>209897.471103677</v>
      </c>
      <c r="AO2" s="91">
        <v>217985.17749207301</v>
      </c>
      <c r="AP2" s="91">
        <v>209967.68266391457</v>
      </c>
      <c r="AQ2" s="91">
        <v>221954.73766719748</v>
      </c>
      <c r="AR2" s="91">
        <v>231070.41874318928</v>
      </c>
      <c r="AS2" s="91">
        <v>236033.81133779298</v>
      </c>
      <c r="AT2" s="91">
        <v>240549.13814868493</v>
      </c>
      <c r="AU2" s="91">
        <v>248489.665198973</v>
      </c>
      <c r="AV2" s="91">
        <v>257683.782811335</v>
      </c>
    </row>
    <row r="3" spans="1:48" x14ac:dyDescent="0.25">
      <c r="A3" s="90" t="s">
        <v>95</v>
      </c>
      <c r="B3" s="91">
        <v>126169.805233915</v>
      </c>
      <c r="C3" s="91">
        <v>131003.0177686</v>
      </c>
      <c r="D3" s="91">
        <v>136140.57009393</v>
      </c>
      <c r="E3" s="91">
        <v>142084.538136135</v>
      </c>
      <c r="F3" s="91">
        <v>148175.58136966999</v>
      </c>
      <c r="G3" s="91">
        <v>145877.68280575899</v>
      </c>
      <c r="H3" s="91">
        <v>150975.42381564499</v>
      </c>
      <c r="I3" s="91">
        <v>154889.43291004299</v>
      </c>
      <c r="J3" s="91">
        <v>158864.61265229</v>
      </c>
      <c r="K3" s="91">
        <v>165017.60328793101</v>
      </c>
      <c r="L3" s="91">
        <v>154546.848620515</v>
      </c>
      <c r="M3" s="91">
        <v>141548.46320675401</v>
      </c>
      <c r="N3" s="91">
        <v>127819.67960757999</v>
      </c>
      <c r="O3" s="91">
        <v>109635.915597154</v>
      </c>
      <c r="P3" s="91">
        <v>84491.964523862494</v>
      </c>
      <c r="Q3" s="91">
        <v>74183.945202135495</v>
      </c>
      <c r="R3" s="91">
        <v>66765.550587277598</v>
      </c>
      <c r="S3" s="91">
        <v>64762.5838425127</v>
      </c>
      <c r="T3" s="91">
        <v>63532.095124296698</v>
      </c>
      <c r="U3" s="91">
        <v>63405.0312482675</v>
      </c>
      <c r="V3" s="91">
        <v>67145.927327188605</v>
      </c>
      <c r="W3" s="91">
        <v>73323.353250799802</v>
      </c>
      <c r="X3" s="91">
        <v>77136.167706914304</v>
      </c>
      <c r="Y3" s="91">
        <v>84386.966986784901</v>
      </c>
      <c r="Z3" s="91">
        <v>94597.790308298194</v>
      </c>
      <c r="AA3" s="91">
        <v>97151.930001147499</v>
      </c>
      <c r="AB3" s="91">
        <v>104244.021054019</v>
      </c>
      <c r="AC3" s="91">
        <v>112479.299895609</v>
      </c>
      <c r="AD3" s="91">
        <v>115066.323780905</v>
      </c>
      <c r="AE3" s="91">
        <v>98036.507679613904</v>
      </c>
      <c r="AF3" s="91">
        <v>102154.041098695</v>
      </c>
      <c r="AG3" s="91">
        <v>107737.302807631</v>
      </c>
      <c r="AH3" s="91">
        <v>107994.45160854</v>
      </c>
      <c r="AI3" s="91">
        <v>107965.585070343</v>
      </c>
      <c r="AJ3" s="91">
        <v>100891.01174715901</v>
      </c>
      <c r="AK3" s="91">
        <v>91030.959454695607</v>
      </c>
      <c r="AL3" s="91">
        <v>93131.591635836303</v>
      </c>
      <c r="AM3" s="91">
        <v>95340.926055066506</v>
      </c>
      <c r="AN3" s="91">
        <v>98655.469960266593</v>
      </c>
      <c r="AO3" s="91">
        <v>101857.850136084</v>
      </c>
      <c r="AP3" s="91">
        <v>98035.125020476771</v>
      </c>
      <c r="AQ3" s="91">
        <v>101413.41542868239</v>
      </c>
      <c r="AR3" s="91">
        <v>72247.931285547616</v>
      </c>
      <c r="AS3" s="91">
        <v>76094.411147190171</v>
      </c>
      <c r="AT3" s="91">
        <v>78377.243481605881</v>
      </c>
      <c r="AU3" s="91">
        <v>80336.67456864602</v>
      </c>
      <c r="AV3" s="91">
        <v>84594.518320784249</v>
      </c>
    </row>
    <row r="4" spans="1:48" x14ac:dyDescent="0.25">
      <c r="A4" s="90" t="s">
        <v>96</v>
      </c>
      <c r="B4" s="91">
        <v>1867472.4032263199</v>
      </c>
      <c r="C4" s="91">
        <v>1869532.0569106101</v>
      </c>
      <c r="D4" s="91">
        <v>1854797.60876263</v>
      </c>
      <c r="E4" s="91">
        <v>1883632.7647806399</v>
      </c>
      <c r="F4" s="91">
        <v>1936866.89819962</v>
      </c>
      <c r="G4" s="91">
        <v>1979327.45687922</v>
      </c>
      <c r="H4" s="91">
        <v>2027174.8023737599</v>
      </c>
      <c r="I4" s="91">
        <v>2056960.56769917</v>
      </c>
      <c r="J4" s="91">
        <v>2133801.5031717001</v>
      </c>
      <c r="K4" s="91">
        <v>2217296.7060150402</v>
      </c>
      <c r="L4" s="91">
        <v>2344203.0768453698</v>
      </c>
      <c r="M4" s="91">
        <v>2461680.53730461</v>
      </c>
      <c r="N4" s="91">
        <v>2508934.3476474201</v>
      </c>
      <c r="O4" s="91">
        <v>2484425.3861430101</v>
      </c>
      <c r="P4" s="91">
        <v>2544027.9851478399</v>
      </c>
      <c r="Q4" s="91">
        <v>2583226.7904873998</v>
      </c>
      <c r="R4" s="91">
        <v>2604296.28704551</v>
      </c>
      <c r="S4" s="91">
        <v>2650795.6341097802</v>
      </c>
      <c r="T4" s="91">
        <v>2704351.4318380598</v>
      </c>
      <c r="U4" s="91">
        <v>2755377.5585735799</v>
      </c>
      <c r="V4" s="91">
        <v>2835383.9512437</v>
      </c>
      <c r="W4" s="91">
        <v>2883214.70409363</v>
      </c>
      <c r="X4" s="91">
        <v>2877423.0889260001</v>
      </c>
      <c r="Y4" s="91">
        <v>2857196.8160321401</v>
      </c>
      <c r="Z4" s="91">
        <v>2891025.61803619</v>
      </c>
      <c r="AA4" s="91">
        <v>2912017.4492568001</v>
      </c>
      <c r="AB4" s="91">
        <v>3023067.7868292802</v>
      </c>
      <c r="AC4" s="91">
        <v>3113215.05356686</v>
      </c>
      <c r="AD4" s="91">
        <v>3143082.9233585601</v>
      </c>
      <c r="AE4" s="91">
        <v>2964053.2253797799</v>
      </c>
      <c r="AF4" s="91">
        <v>3088106.9594589099</v>
      </c>
      <c r="AG4" s="91">
        <v>3208987.5097488598</v>
      </c>
      <c r="AH4" s="91">
        <v>3222678.7992447601</v>
      </c>
      <c r="AI4" s="91">
        <v>3236614.17980137</v>
      </c>
      <c r="AJ4" s="91">
        <v>3308365.8566003698</v>
      </c>
      <c r="AK4" s="91">
        <v>3357572.39542882</v>
      </c>
      <c r="AL4" s="91">
        <v>3432441.78077592</v>
      </c>
      <c r="AM4" s="91">
        <v>3524430.8255170002</v>
      </c>
      <c r="AN4" s="91">
        <v>3559102.8511852999</v>
      </c>
      <c r="AO4" s="91">
        <v>3597203.24675168</v>
      </c>
      <c r="AP4" s="91">
        <v>3449717.9136348614</v>
      </c>
      <c r="AQ4" s="91">
        <v>3576322.5610652608</v>
      </c>
      <c r="AR4" s="91">
        <v>3625210.8904750231</v>
      </c>
      <c r="AS4" s="91">
        <v>3615640.3337241691</v>
      </c>
      <c r="AT4" s="91">
        <v>3615893.42854753</v>
      </c>
      <c r="AU4" s="91">
        <v>3644314.3508959133</v>
      </c>
      <c r="AV4" s="91">
        <v>3695152.5360909109</v>
      </c>
    </row>
    <row r="5" spans="1:48" x14ac:dyDescent="0.25">
      <c r="A5" s="90" t="s">
        <v>97</v>
      </c>
      <c r="B5" s="92">
        <f t="shared" ref="B5:Q6" si="0">C5*(C5/D5)</f>
        <v>1587547.1531826046</v>
      </c>
      <c r="C5" s="92">
        <f t="shared" si="0"/>
        <v>1539920.7979264082</v>
      </c>
      <c r="D5" s="92">
        <f t="shared" si="0"/>
        <v>1493723.2315477217</v>
      </c>
      <c r="E5" s="92">
        <f t="shared" si="0"/>
        <v>1448911.5904336246</v>
      </c>
      <c r="F5" s="92">
        <f t="shared" si="0"/>
        <v>1405444.2968779826</v>
      </c>
      <c r="G5" s="92">
        <f t="shared" si="0"/>
        <v>1363281.0205042907</v>
      </c>
      <c r="H5" s="92">
        <f t="shared" si="0"/>
        <v>1322382.6408458322</v>
      </c>
      <c r="I5" s="92">
        <f t="shared" si="0"/>
        <v>1282711.2110484291</v>
      </c>
      <c r="J5" s="92">
        <f t="shared" si="0"/>
        <v>1244229.922662111</v>
      </c>
      <c r="K5" s="91">
        <v>1206903.07148903</v>
      </c>
      <c r="L5" s="91">
        <v>1170696.0244559399</v>
      </c>
      <c r="M5" s="91">
        <v>1111611.73575798</v>
      </c>
      <c r="N5" s="91">
        <v>950082.61105348705</v>
      </c>
      <c r="O5" s="91">
        <v>867724.31642371998</v>
      </c>
      <c r="P5" s="91">
        <v>758653.49811634002</v>
      </c>
      <c r="Q5" s="91">
        <v>727218.56059956097</v>
      </c>
      <c r="R5" s="91">
        <v>700979.64556694101</v>
      </c>
      <c r="S5" s="91">
        <v>710663.86647870799</v>
      </c>
      <c r="T5" s="91">
        <v>672677.16846643202</v>
      </c>
      <c r="U5" s="91">
        <v>715402.57902783598</v>
      </c>
      <c r="V5" s="91">
        <v>787273.05068590399</v>
      </c>
      <c r="W5" s="91">
        <v>827347.51021477499</v>
      </c>
      <c r="X5" s="91">
        <v>866596.98476365802</v>
      </c>
      <c r="Y5" s="91">
        <v>930283.60790161102</v>
      </c>
      <c r="Z5" s="91">
        <v>997036.97421732906</v>
      </c>
      <c r="AA5" s="91">
        <v>1060609.1992619401</v>
      </c>
      <c r="AB5" s="91">
        <v>1147087.3571830301</v>
      </c>
      <c r="AC5" s="91">
        <v>1244992.17262252</v>
      </c>
      <c r="AD5" s="91">
        <v>1310326.6160154999</v>
      </c>
      <c r="AE5" s="91">
        <v>1207845.9829573501</v>
      </c>
      <c r="AF5" s="91">
        <v>1262244.2638252501</v>
      </c>
      <c r="AG5" s="91">
        <v>1310413.87759027</v>
      </c>
      <c r="AH5" s="91">
        <v>1363146.0611427</v>
      </c>
      <c r="AI5" s="91">
        <v>1387075.02900312</v>
      </c>
      <c r="AJ5" s="91">
        <v>1397287.60783094</v>
      </c>
      <c r="AK5" s="91">
        <v>1369723.0464888399</v>
      </c>
      <c r="AL5" s="91">
        <v>1372376.0640383</v>
      </c>
      <c r="AM5" s="91">
        <v>1397433.2469104901</v>
      </c>
      <c r="AN5" s="91">
        <v>1436662.0386309801</v>
      </c>
      <c r="AO5" s="91">
        <v>1468241.11296371</v>
      </c>
      <c r="AP5" s="91">
        <v>1429273.9938256531</v>
      </c>
      <c r="AQ5" s="91">
        <v>1513129.4990434041</v>
      </c>
      <c r="AR5" s="91">
        <v>1494260.774190333</v>
      </c>
      <c r="AS5" s="91">
        <v>1548786.3498405381</v>
      </c>
      <c r="AT5" s="91">
        <v>1604929.8550222574</v>
      </c>
      <c r="AU5" s="91">
        <v>1626548.2601694071</v>
      </c>
      <c r="AV5" s="91">
        <v>1646066.8392914401</v>
      </c>
    </row>
    <row r="6" spans="1:48" x14ac:dyDescent="0.25">
      <c r="A6" s="90" t="s">
        <v>98</v>
      </c>
      <c r="B6" s="92">
        <f t="shared" si="0"/>
        <v>8488.1413310076023</v>
      </c>
      <c r="C6" s="92">
        <f t="shared" si="0"/>
        <v>8980.4538202044223</v>
      </c>
      <c r="D6" s="92">
        <f t="shared" si="0"/>
        <v>9501.3204507105747</v>
      </c>
      <c r="E6" s="92">
        <f t="shared" si="0"/>
        <v>10052.397363704284</v>
      </c>
      <c r="F6" s="92">
        <f t="shared" si="0"/>
        <v>10635.436756609082</v>
      </c>
      <c r="G6" s="92">
        <f t="shared" si="0"/>
        <v>11252.292454359349</v>
      </c>
      <c r="H6" s="92">
        <f t="shared" si="0"/>
        <v>11904.925803799426</v>
      </c>
      <c r="I6" s="92">
        <f t="shared" si="0"/>
        <v>12595.4119099581</v>
      </c>
      <c r="J6" s="92">
        <f t="shared" si="0"/>
        <v>13325.946234027213</v>
      </c>
      <c r="K6" s="92">
        <f t="shared" si="0"/>
        <v>14098.851574023258</v>
      </c>
      <c r="L6" s="92">
        <f t="shared" si="0"/>
        <v>14916.585450327591</v>
      </c>
      <c r="M6" s="92">
        <f t="shared" si="0"/>
        <v>15781.74791958823</v>
      </c>
      <c r="N6" s="92">
        <f t="shared" si="0"/>
        <v>16697.089841828216</v>
      </c>
      <c r="O6" s="92">
        <f t="shared" si="0"/>
        <v>17665.521627046564</v>
      </c>
      <c r="P6" s="92">
        <f t="shared" si="0"/>
        <v>18690.12248912235</v>
      </c>
      <c r="Q6" s="92">
        <f t="shared" si="0"/>
        <v>19774.150236445563</v>
      </c>
      <c r="R6" s="92">
        <f t="shared" ref="R6:T6" si="1">S6*(S6/T6)</f>
        <v>20921.051630404883</v>
      </c>
      <c r="S6" s="92">
        <f t="shared" si="1"/>
        <v>22134.473344668106</v>
      </c>
      <c r="T6" s="92">
        <f t="shared" si="1"/>
        <v>23418.273560101203</v>
      </c>
      <c r="U6" s="91">
        <v>24776.534232193098</v>
      </c>
      <c r="V6" s="91">
        <v>26213.5740699915</v>
      </c>
      <c r="W6" s="91">
        <v>27452.245656729701</v>
      </c>
      <c r="X6" s="91">
        <v>28837.284879384399</v>
      </c>
      <c r="Y6" s="91">
        <v>30868.350382153902</v>
      </c>
      <c r="Z6" s="91">
        <v>34402.697201784002</v>
      </c>
      <c r="AA6" s="91">
        <v>37636.551262903296</v>
      </c>
      <c r="AB6" s="91">
        <v>41400.204436787601</v>
      </c>
      <c r="AC6" s="91">
        <v>44960.624724371402</v>
      </c>
      <c r="AD6" s="91">
        <v>49546.608194272601</v>
      </c>
      <c r="AE6" s="91">
        <v>49645.6990869324</v>
      </c>
      <c r="AF6" s="91">
        <v>53517.203167724801</v>
      </c>
      <c r="AG6" s="91">
        <v>56395.736961437302</v>
      </c>
      <c r="AH6" s="91">
        <v>57347.209480744401</v>
      </c>
      <c r="AI6" s="91">
        <v>57922.6720059285</v>
      </c>
      <c r="AJ6" s="91">
        <v>58922.640242569403</v>
      </c>
      <c r="AK6" s="91">
        <v>56666.156159676502</v>
      </c>
      <c r="AL6" s="91">
        <v>55234.516077232103</v>
      </c>
      <c r="AM6" s="91">
        <v>56633.155379771903</v>
      </c>
      <c r="AN6" s="91">
        <v>58416.645346256199</v>
      </c>
      <c r="AO6" s="91">
        <v>59234.478381103698</v>
      </c>
      <c r="AP6" s="91">
        <v>58835.83034159887</v>
      </c>
      <c r="AQ6" s="91">
        <v>60270.83624363046</v>
      </c>
      <c r="AR6" s="91">
        <v>57439.312356904702</v>
      </c>
      <c r="AS6" s="91">
        <v>59696.102939407494</v>
      </c>
      <c r="AT6" s="91">
        <v>61832.626463608889</v>
      </c>
      <c r="AU6" s="91">
        <v>63257.250177330432</v>
      </c>
      <c r="AV6" s="91">
        <v>64471.156808233405</v>
      </c>
    </row>
    <row r="7" spans="1:48" x14ac:dyDescent="0.25">
      <c r="A7" s="90" t="s">
        <v>99</v>
      </c>
      <c r="B7" s="91">
        <v>1257201.8195939199</v>
      </c>
      <c r="C7" s="91">
        <v>1241693.1099522901</v>
      </c>
      <c r="D7" s="91">
        <v>1246830.13425052</v>
      </c>
      <c r="E7" s="91">
        <v>1261407.9662709399</v>
      </c>
      <c r="F7" s="91">
        <v>1302098.08055031</v>
      </c>
      <c r="G7" s="91">
        <v>1338531.01076223</v>
      </c>
      <c r="H7" s="91">
        <v>1376812.3821147201</v>
      </c>
      <c r="I7" s="91">
        <v>1420761.1228225899</v>
      </c>
      <c r="J7" s="91">
        <v>1480352.8236990999</v>
      </c>
      <c r="K7" s="91">
        <v>1530515.92144679</v>
      </c>
      <c r="L7" s="91">
        <v>1561930.5447686601</v>
      </c>
      <c r="M7" s="91">
        <v>1584342.61622101</v>
      </c>
      <c r="N7" s="91">
        <v>1597560.1908354601</v>
      </c>
      <c r="O7" s="91">
        <v>1583936.5361144999</v>
      </c>
      <c r="P7" s="91">
        <v>1618007.3227560101</v>
      </c>
      <c r="Q7" s="91">
        <v>1664718.7395983499</v>
      </c>
      <c r="R7" s="91">
        <v>1684638.8549872399</v>
      </c>
      <c r="S7" s="91">
        <v>1715473.2053700199</v>
      </c>
      <c r="T7" s="91">
        <v>1746533.8954843001</v>
      </c>
      <c r="U7" s="91">
        <v>1774923.9986685901</v>
      </c>
      <c r="V7" s="91">
        <v>1842136.91334738</v>
      </c>
      <c r="W7" s="91">
        <v>1878084.98835016</v>
      </c>
      <c r="X7" s="91">
        <v>1882853.6558304599</v>
      </c>
      <c r="Y7" s="91">
        <v>1885462.1102851401</v>
      </c>
      <c r="Z7" s="91">
        <v>1912302.23011206</v>
      </c>
      <c r="AA7" s="91">
        <v>1927940.7522467501</v>
      </c>
      <c r="AB7" s="91">
        <v>1962463.1088427801</v>
      </c>
      <c r="AC7" s="91">
        <v>1991644.29157883</v>
      </c>
      <c r="AD7" s="91">
        <v>1972483.07999556</v>
      </c>
      <c r="AE7" s="91">
        <v>1868316.87562409</v>
      </c>
      <c r="AF7" s="91">
        <v>1900326.1954953901</v>
      </c>
      <c r="AG7" s="91">
        <v>1913766.7813158699</v>
      </c>
      <c r="AH7" s="91">
        <v>1856716.96438477</v>
      </c>
      <c r="AI7" s="91">
        <v>1822531.8983690201</v>
      </c>
      <c r="AJ7" s="91">
        <v>1822447.5757239501</v>
      </c>
      <c r="AK7" s="91">
        <v>1836630.4227227301</v>
      </c>
      <c r="AL7" s="91">
        <v>1860386.10895373</v>
      </c>
      <c r="AM7" s="91">
        <v>1891414.6233218601</v>
      </c>
      <c r="AN7" s="91">
        <v>1908923.77676689</v>
      </c>
      <c r="AO7" s="91">
        <v>1918148.2303339599</v>
      </c>
      <c r="AP7" s="91">
        <v>1748046.8452679445</v>
      </c>
      <c r="AQ7" s="91">
        <v>1904164.9090188246</v>
      </c>
      <c r="AR7" s="91">
        <v>1992937.0770772824</v>
      </c>
      <c r="AS7" s="91">
        <v>2006847.7778752819</v>
      </c>
      <c r="AT7" s="91">
        <v>2020333.7949426039</v>
      </c>
      <c r="AU7" s="91">
        <v>2035728.7384600665</v>
      </c>
      <c r="AV7" s="91">
        <v>2049978.8396292871</v>
      </c>
    </row>
    <row r="8" spans="1:48" x14ac:dyDescent="0.25">
      <c r="A8" s="90" t="s">
        <v>100</v>
      </c>
      <c r="B8" s="92">
        <f t="shared" ref="B8:K8" si="2">C8*(C8/D8)</f>
        <v>411932.18460035336</v>
      </c>
      <c r="C8" s="92">
        <f t="shared" si="2"/>
        <v>364086.49870021164</v>
      </c>
      <c r="D8" s="92">
        <f t="shared" si="2"/>
        <v>321798.06165032898</v>
      </c>
      <c r="E8" s="92">
        <f t="shared" si="2"/>
        <v>284421.40219864389</v>
      </c>
      <c r="F8" s="92">
        <f t="shared" si="2"/>
        <v>251386.02020712339</v>
      </c>
      <c r="G8" s="92">
        <f t="shared" si="2"/>
        <v>222187.67880006455</v>
      </c>
      <c r="H8" s="92">
        <f t="shared" si="2"/>
        <v>196380.70792435319</v>
      </c>
      <c r="I8" s="92">
        <f t="shared" si="2"/>
        <v>173571.20184676466</v>
      </c>
      <c r="J8" s="92">
        <f t="shared" si="2"/>
        <v>153411.00675803336</v>
      </c>
      <c r="K8" s="92">
        <f t="shared" si="2"/>
        <v>135592.40671324558</v>
      </c>
      <c r="L8" s="91">
        <v>119843.426797194</v>
      </c>
      <c r="M8" s="91">
        <v>105923.68182437</v>
      </c>
      <c r="N8" s="91">
        <v>105387.133334678</v>
      </c>
      <c r="O8" s="91">
        <v>105452.37246899</v>
      </c>
      <c r="P8" s="91">
        <v>108520.308453333</v>
      </c>
      <c r="Q8" s="91">
        <v>115575.01126071101</v>
      </c>
      <c r="R8" s="91">
        <v>120804.795355871</v>
      </c>
      <c r="S8" s="91">
        <v>120178.626599671</v>
      </c>
      <c r="T8" s="91">
        <v>119750.10976145101</v>
      </c>
      <c r="U8" s="91">
        <v>121407.62964047</v>
      </c>
      <c r="V8" s="91">
        <v>126265.18366749601</v>
      </c>
      <c r="W8" s="91">
        <v>130107.403613184</v>
      </c>
      <c r="X8" s="91">
        <v>132149.901621217</v>
      </c>
      <c r="Y8" s="91">
        <v>136885.74239393699</v>
      </c>
      <c r="Z8" s="91">
        <v>143475.779306307</v>
      </c>
      <c r="AA8" s="91">
        <v>152947.501504138</v>
      </c>
      <c r="AB8" s="91">
        <v>163297.355968583</v>
      </c>
      <c r="AC8" s="91">
        <v>172393.572044164</v>
      </c>
      <c r="AD8" s="91">
        <v>177024.77356619001</v>
      </c>
      <c r="AE8" s="91">
        <v>168780.143746849</v>
      </c>
      <c r="AF8" s="91">
        <v>172889.77511098099</v>
      </c>
      <c r="AG8" s="91">
        <v>175933.25690684101</v>
      </c>
      <c r="AH8" s="91">
        <v>174552.17327674499</v>
      </c>
      <c r="AI8" s="91">
        <v>174472.047416947</v>
      </c>
      <c r="AJ8" s="91">
        <v>178418.784656162</v>
      </c>
      <c r="AK8" s="91">
        <v>188032.66826024</v>
      </c>
      <c r="AL8" s="91">
        <v>192803.59204513999</v>
      </c>
      <c r="AM8" s="91">
        <v>202769.07816641399</v>
      </c>
      <c r="AN8" s="91">
        <v>209298.42106118999</v>
      </c>
      <c r="AO8" s="91">
        <v>215639.90926386599</v>
      </c>
      <c r="AP8" s="91">
        <v>204200.21207741791</v>
      </c>
      <c r="AQ8" s="91">
        <v>212427.43862201707</v>
      </c>
      <c r="AR8" s="91">
        <v>218475.24779958589</v>
      </c>
      <c r="AS8" s="91">
        <v>218289.54383895628</v>
      </c>
      <c r="AT8" s="91">
        <v>220618.69327171793</v>
      </c>
      <c r="AU8" s="91">
        <v>225653.21185217856</v>
      </c>
      <c r="AV8" s="91">
        <v>230938.01007375657</v>
      </c>
    </row>
    <row r="9" spans="1:48" x14ac:dyDescent="0.25">
      <c r="A9" s="90" t="s">
        <v>101</v>
      </c>
      <c r="B9" s="91">
        <v>173354.076263547</v>
      </c>
      <c r="C9" s="91">
        <v>181773.238561857</v>
      </c>
      <c r="D9" s="91">
        <v>188250.244623017</v>
      </c>
      <c r="E9" s="91">
        <v>197608.34653612299</v>
      </c>
      <c r="F9" s="91">
        <v>210871.81136208301</v>
      </c>
      <c r="G9" s="91">
        <v>219815.60237094999</v>
      </c>
      <c r="H9" s="91">
        <v>235229.19501280901</v>
      </c>
      <c r="I9" s="91">
        <v>257541.928178779</v>
      </c>
      <c r="J9" s="91">
        <v>263518.789328232</v>
      </c>
      <c r="K9" s="91">
        <v>264283.64069050702</v>
      </c>
      <c r="L9" s="91">
        <v>288772.56143988902</v>
      </c>
      <c r="M9" s="91">
        <v>290852.502365747</v>
      </c>
      <c r="N9" s="91">
        <v>305498.76712314901</v>
      </c>
      <c r="O9" s="91">
        <v>328873.30917493202</v>
      </c>
      <c r="P9" s="91">
        <v>313521.066741688</v>
      </c>
      <c r="Q9" s="91">
        <v>338221.05472254701</v>
      </c>
      <c r="R9" s="91">
        <v>363180.57097122801</v>
      </c>
      <c r="S9" s="91">
        <v>390701.26143353299</v>
      </c>
      <c r="T9" s="91">
        <v>400046.88962376502</v>
      </c>
      <c r="U9" s="91">
        <v>386992.68588170601</v>
      </c>
      <c r="V9" s="91">
        <v>413823.81644821999</v>
      </c>
      <c r="W9" s="91">
        <v>390028.91986800602</v>
      </c>
      <c r="X9" s="91">
        <v>415176.90054520598</v>
      </c>
      <c r="Y9" s="91">
        <v>439104.40087552398</v>
      </c>
      <c r="Z9" s="91">
        <v>482118.78863685898</v>
      </c>
      <c r="AA9" s="91">
        <v>525472.38030294701</v>
      </c>
      <c r="AB9" s="91">
        <v>561982.13867996901</v>
      </c>
      <c r="AC9" s="91">
        <v>590325.75237966503</v>
      </c>
      <c r="AD9" s="91">
        <v>595137.05231038795</v>
      </c>
      <c r="AE9" s="91">
        <v>566432.67606994498</v>
      </c>
      <c r="AF9" s="91">
        <v>614166.54860154504</v>
      </c>
      <c r="AG9" s="91">
        <v>682953.88120710105</v>
      </c>
      <c r="AH9" s="91">
        <v>715657.07801705296</v>
      </c>
      <c r="AI9" s="91">
        <v>776386.42801709496</v>
      </c>
      <c r="AJ9" s="91">
        <v>814737.70610366506</v>
      </c>
      <c r="AK9" s="91">
        <v>864310.31510236301</v>
      </c>
      <c r="AL9" s="91">
        <v>893032.07469545701</v>
      </c>
      <c r="AM9" s="91">
        <v>960027.31855602504</v>
      </c>
      <c r="AN9" s="91">
        <v>988954.57744098199</v>
      </c>
      <c r="AO9" s="91">
        <v>997049.31436092895</v>
      </c>
      <c r="AP9" s="91">
        <v>1015594.4316080422</v>
      </c>
      <c r="AQ9" s="91">
        <v>1131768.2786396861</v>
      </c>
      <c r="AR9" s="91">
        <v>1194389.0174968201</v>
      </c>
      <c r="AS9" s="91">
        <v>1255434.2401810826</v>
      </c>
      <c r="AT9" s="91">
        <v>1293197.7021257295</v>
      </c>
      <c r="AU9" s="91">
        <v>1328114.0400831243</v>
      </c>
      <c r="AV9" s="91">
        <v>1371198.0595434208</v>
      </c>
    </row>
    <row r="10" spans="1:48" x14ac:dyDescent="0.25">
      <c r="A10" s="90" t="s">
        <v>102</v>
      </c>
      <c r="B10" s="91">
        <v>197491.52170342399</v>
      </c>
      <c r="C10" s="91">
        <v>177742.36953308099</v>
      </c>
      <c r="D10" s="91">
        <v>169128.97430550901</v>
      </c>
      <c r="E10" s="91">
        <v>178600.196866616</v>
      </c>
      <c r="F10" s="91">
        <v>177946.520146086</v>
      </c>
      <c r="G10" s="91">
        <v>184818.81475412799</v>
      </c>
      <c r="H10" s="91">
        <v>191276.384141635</v>
      </c>
      <c r="I10" s="91">
        <v>195679.566504577</v>
      </c>
      <c r="J10" s="91">
        <v>202107.64026425299</v>
      </c>
      <c r="K10" s="91">
        <v>209811.98351112401</v>
      </c>
      <c r="L10" s="91">
        <v>194766.366173541</v>
      </c>
      <c r="M10" s="91">
        <v>181102.37829903699</v>
      </c>
      <c r="N10" s="91">
        <v>185657.064375321</v>
      </c>
      <c r="O10" s="91">
        <v>192597.50153774701</v>
      </c>
      <c r="P10" s="91">
        <v>202791.30607441399</v>
      </c>
      <c r="Q10" s="91">
        <v>217195.29985941999</v>
      </c>
      <c r="R10" s="91">
        <v>230477.97140659401</v>
      </c>
      <c r="S10" s="91">
        <v>245341.50287790701</v>
      </c>
      <c r="T10" s="91">
        <v>256726.61202620601</v>
      </c>
      <c r="U10" s="91">
        <v>268676.95817087003</v>
      </c>
      <c r="V10" s="91">
        <v>280931.27503249201</v>
      </c>
      <c r="W10" s="91">
        <v>284466.99026550999</v>
      </c>
      <c r="X10" s="91">
        <v>290258.34858491801</v>
      </c>
      <c r="Y10" s="91">
        <v>300412.72114798002</v>
      </c>
      <c r="Z10" s="91">
        <v>315381.82011087198</v>
      </c>
      <c r="AA10" s="91">
        <v>326441.738945916</v>
      </c>
      <c r="AB10" s="91">
        <v>346456.32741837</v>
      </c>
      <c r="AC10" s="91">
        <v>370921.46096920501</v>
      </c>
      <c r="AD10" s="91">
        <v>386500.09283573303</v>
      </c>
      <c r="AE10" s="91">
        <v>397446.48683058802</v>
      </c>
      <c r="AF10" s="91">
        <v>409110.103180287</v>
      </c>
      <c r="AG10" s="91">
        <v>429738.20323068299</v>
      </c>
      <c r="AH10" s="91">
        <v>436378.61064693198</v>
      </c>
      <c r="AI10" s="91">
        <v>440116.44253468001</v>
      </c>
      <c r="AJ10" s="91">
        <v>457003.527757884</v>
      </c>
      <c r="AK10" s="91">
        <v>477035.35715232999</v>
      </c>
      <c r="AL10" s="91">
        <v>491124.63860374998</v>
      </c>
      <c r="AM10" s="91">
        <v>516368.53133869101</v>
      </c>
      <c r="AN10" s="91">
        <v>547067.717036683</v>
      </c>
      <c r="AO10" s="91">
        <v>571412.42937853094</v>
      </c>
      <c r="AP10" s="91">
        <v>559869.89830508467</v>
      </c>
      <c r="AQ10" s="91">
        <v>598696.87575254228</v>
      </c>
      <c r="AR10" s="91">
        <v>632451.40560747066</v>
      </c>
      <c r="AS10" s="91">
        <v>633469.65237049875</v>
      </c>
      <c r="AT10" s="91">
        <v>652195.01529457071</v>
      </c>
      <c r="AU10" s="91">
        <v>675002.27497942187</v>
      </c>
      <c r="AV10" s="91">
        <v>697851.10198747541</v>
      </c>
    </row>
    <row r="11" spans="1:48" x14ac:dyDescent="0.25">
      <c r="A11" s="90" t="s">
        <v>103</v>
      </c>
      <c r="B11" s="91">
        <v>29951.727435434499</v>
      </c>
      <c r="C11" s="91">
        <v>31419.4094009174</v>
      </c>
      <c r="D11" s="91">
        <v>32152.912335550402</v>
      </c>
      <c r="E11" s="91">
        <v>33255.859947230798</v>
      </c>
      <c r="F11" s="91">
        <v>34385.376464055997</v>
      </c>
      <c r="G11" s="91">
        <v>35308.085763794799</v>
      </c>
      <c r="H11" s="91">
        <v>36793.709423161497</v>
      </c>
      <c r="I11" s="91">
        <v>39021.390589990202</v>
      </c>
      <c r="J11" s="91">
        <v>43292.161893059099</v>
      </c>
      <c r="K11" s="91">
        <v>41867.900950052797</v>
      </c>
      <c r="L11" s="91">
        <v>38050.644933251897</v>
      </c>
      <c r="M11" s="91">
        <v>34837.131665127701</v>
      </c>
      <c r="N11" s="91">
        <v>32303.642679443699</v>
      </c>
      <c r="O11" s="91">
        <v>31825.480612820102</v>
      </c>
      <c r="P11" s="91">
        <v>32404.0681120839</v>
      </c>
      <c r="Q11" s="91">
        <v>33839.789794782802</v>
      </c>
      <c r="R11" s="91">
        <v>35601.283787197397</v>
      </c>
      <c r="S11" s="91">
        <v>30576.027023687999</v>
      </c>
      <c r="T11" s="91">
        <v>31734.589795867501</v>
      </c>
      <c r="U11" s="91">
        <v>29070.124259938599</v>
      </c>
      <c r="V11" s="91">
        <v>30403.6368078462</v>
      </c>
      <c r="W11" s="91">
        <v>31566.181873997801</v>
      </c>
      <c r="X11" s="91">
        <v>33419.725854117802</v>
      </c>
      <c r="Y11" s="91">
        <v>35169.968447865002</v>
      </c>
      <c r="Z11" s="91">
        <v>37459.683102660303</v>
      </c>
      <c r="AA11" s="91">
        <v>40102.969301630299</v>
      </c>
      <c r="AB11" s="91">
        <v>42831.009721528302</v>
      </c>
      <c r="AC11" s="91">
        <v>45681.151132106599</v>
      </c>
      <c r="AD11" s="91">
        <v>48481.204134056803</v>
      </c>
      <c r="AE11" s="91">
        <v>46858.469260882703</v>
      </c>
      <c r="AF11" s="91">
        <v>47587.286920184903</v>
      </c>
      <c r="AG11" s="91">
        <v>48581.9448259864</v>
      </c>
      <c r="AH11" s="91">
        <v>48945.733620407897</v>
      </c>
      <c r="AI11" s="91">
        <v>48680.080008483703</v>
      </c>
      <c r="AJ11" s="91">
        <v>49142.272308059102</v>
      </c>
      <c r="AK11" s="91">
        <v>50811.907485570096</v>
      </c>
      <c r="AL11" s="91">
        <v>52349.795104167802</v>
      </c>
      <c r="AM11" s="91">
        <v>53787.282397841998</v>
      </c>
      <c r="AN11" s="91">
        <v>55236.799396070899</v>
      </c>
      <c r="AO11" s="91">
        <v>57465.708619770601</v>
      </c>
      <c r="AP11" s="91">
        <v>55186.618615910505</v>
      </c>
      <c r="AQ11" s="91">
        <v>59415.017334261574</v>
      </c>
      <c r="AR11" s="91">
        <v>61747.65091480469</v>
      </c>
      <c r="AS11" s="91">
        <v>62887.512550691994</v>
      </c>
      <c r="AT11" s="91">
        <v>64346.502841868038</v>
      </c>
      <c r="AU11" s="91">
        <v>65969.965108568358</v>
      </c>
      <c r="AV11" s="91">
        <v>67804.589838237647</v>
      </c>
    </row>
    <row r="12" spans="1:48" x14ac:dyDescent="0.25">
      <c r="A12" s="90" t="s">
        <v>104</v>
      </c>
      <c r="B12" s="91">
        <v>7062531.1642268896</v>
      </c>
      <c r="C12" s="91">
        <v>7241738.3946998799</v>
      </c>
      <c r="D12" s="91">
        <v>7111164.7854209598</v>
      </c>
      <c r="E12" s="91">
        <v>7437148.7225791998</v>
      </c>
      <c r="F12" s="91">
        <v>7975329.9804251101</v>
      </c>
      <c r="G12" s="91">
        <v>8307858.4118811004</v>
      </c>
      <c r="H12" s="91">
        <v>8595524.2132811304</v>
      </c>
      <c r="I12" s="91">
        <v>8892483.6831634697</v>
      </c>
      <c r="J12" s="91">
        <v>9263914.1457796898</v>
      </c>
      <c r="K12" s="91">
        <v>9604106.2043873202</v>
      </c>
      <c r="L12" s="91">
        <v>9785259.7528670803</v>
      </c>
      <c r="M12" s="91">
        <v>9774627.9907551203</v>
      </c>
      <c r="N12" s="91">
        <v>10118931.646152001</v>
      </c>
      <c r="O12" s="91">
        <v>10397401.0949701</v>
      </c>
      <c r="P12" s="91">
        <v>10816321.7169514</v>
      </c>
      <c r="Q12" s="91">
        <v>11106688.0345858</v>
      </c>
      <c r="R12" s="91">
        <v>11525705.972467501</v>
      </c>
      <c r="S12" s="91">
        <v>12038268.8195493</v>
      </c>
      <c r="T12" s="91">
        <v>12577958.4738505</v>
      </c>
      <c r="U12" s="91">
        <v>13180246.581044201</v>
      </c>
      <c r="V12" s="91">
        <v>13717673.640662501</v>
      </c>
      <c r="W12" s="91">
        <v>13848758.158418201</v>
      </c>
      <c r="X12" s="91">
        <v>14084238.308261801</v>
      </c>
      <c r="Y12" s="91">
        <v>14478002.770005699</v>
      </c>
      <c r="Z12" s="91">
        <v>15035087.6414923</v>
      </c>
      <c r="AA12" s="91">
        <v>15558817.488138</v>
      </c>
      <c r="AB12" s="91">
        <v>15992067.876444099</v>
      </c>
      <c r="AC12" s="91">
        <v>16312529.1362582</v>
      </c>
      <c r="AD12" s="91">
        <v>16331067.815272599</v>
      </c>
      <c r="AE12" s="91">
        <v>15910298.191184901</v>
      </c>
      <c r="AF12" s="91">
        <v>16339120.7060256</v>
      </c>
      <c r="AG12" s="91">
        <v>16594696.589289101</v>
      </c>
      <c r="AH12" s="91">
        <v>16974593.535234701</v>
      </c>
      <c r="AI12" s="91">
        <v>17334078.471084401</v>
      </c>
      <c r="AJ12" s="91">
        <v>17771537.772080202</v>
      </c>
      <c r="AK12" s="91">
        <v>18295000</v>
      </c>
      <c r="AL12" s="91">
        <v>18627893.366082199</v>
      </c>
      <c r="AM12" s="91">
        <v>19085691.690248702</v>
      </c>
      <c r="AN12" s="91">
        <v>19651899.927391998</v>
      </c>
      <c r="AO12" s="91">
        <v>20136703.413902398</v>
      </c>
      <c r="AP12" s="91">
        <v>19701146.519059692</v>
      </c>
      <c r="AQ12" s="91">
        <v>20894050.940788757</v>
      </c>
      <c r="AR12" s="91">
        <v>21418909.500421371</v>
      </c>
      <c r="AS12" s="91">
        <v>22037273.417698536</v>
      </c>
      <c r="AT12" s="91">
        <v>22646604.027697898</v>
      </c>
      <c r="AU12" s="91">
        <v>23134185.412414234</v>
      </c>
      <c r="AV12" s="91">
        <v>23603346.692577995</v>
      </c>
    </row>
    <row r="13" spans="1:48" x14ac:dyDescent="0.25">
      <c r="A13" s="90" t="s">
        <v>105</v>
      </c>
      <c r="B13" s="91">
        <v>424756.648201812</v>
      </c>
      <c r="C13" s="91">
        <v>446473.63863573998</v>
      </c>
      <c r="D13" s="91">
        <v>486732.59259816702</v>
      </c>
      <c r="E13" s="91">
        <v>539154.41639800603</v>
      </c>
      <c r="F13" s="91">
        <v>621059.78526730801</v>
      </c>
      <c r="G13" s="91">
        <v>704472.00125534402</v>
      </c>
      <c r="H13" s="91">
        <v>767522.42122030398</v>
      </c>
      <c r="I13" s="91">
        <v>856995.90554355097</v>
      </c>
      <c r="J13" s="91">
        <v>953172.76222048397</v>
      </c>
      <c r="K13" s="91">
        <v>993267.15686159395</v>
      </c>
      <c r="L13" s="91">
        <v>1032204.79627344</v>
      </c>
      <c r="M13" s="91">
        <v>1127815.7185074501</v>
      </c>
      <c r="N13" s="91">
        <v>1288242.1991347999</v>
      </c>
      <c r="O13" s="91">
        <v>1467098.25881736</v>
      </c>
      <c r="P13" s="91">
        <v>1658361.02193094</v>
      </c>
      <c r="Q13" s="91">
        <v>1840017.13109909</v>
      </c>
      <c r="R13" s="91">
        <v>2022593.8751952001</v>
      </c>
      <c r="S13" s="91">
        <v>2209416.4195498098</v>
      </c>
      <c r="T13" s="91">
        <v>2382766.1666092598</v>
      </c>
      <c r="U13" s="91">
        <v>2565325.4063654901</v>
      </c>
      <c r="V13" s="91">
        <v>2783123.92953414</v>
      </c>
      <c r="W13" s="91">
        <v>3015117.7226684899</v>
      </c>
      <c r="X13" s="91">
        <v>3290507.4433375299</v>
      </c>
      <c r="Y13" s="91">
        <v>3620809.58347398</v>
      </c>
      <c r="Z13" s="91">
        <v>3987004.5555611299</v>
      </c>
      <c r="AA13" s="91">
        <v>4441307.4501080699</v>
      </c>
      <c r="AB13" s="91">
        <v>5006284.20179033</v>
      </c>
      <c r="AC13" s="91">
        <v>5718721.5444722697</v>
      </c>
      <c r="AD13" s="91">
        <v>6270616.9990206398</v>
      </c>
      <c r="AE13" s="91">
        <v>6859975.0862287097</v>
      </c>
      <c r="AF13" s="91">
        <v>7589593.1914597396</v>
      </c>
      <c r="AG13" s="91">
        <v>8314462.5002345601</v>
      </c>
      <c r="AH13" s="91">
        <v>8968289.9183748197</v>
      </c>
      <c r="AI13" s="91">
        <v>9664780.7746264394</v>
      </c>
      <c r="AJ13" s="91">
        <v>10382464.5528522</v>
      </c>
      <c r="AK13" s="91">
        <v>11113528.0277404</v>
      </c>
      <c r="AL13" s="91">
        <v>11874667.1349396</v>
      </c>
      <c r="AM13" s="91">
        <v>12699624.1043406</v>
      </c>
      <c r="AN13" s="91">
        <v>13556820.008966601</v>
      </c>
      <c r="AO13" s="91">
        <v>14363518.685774401</v>
      </c>
      <c r="AP13" s="91">
        <v>14685548.774709465</v>
      </c>
      <c r="AQ13" s="91">
        <v>15926330.790684666</v>
      </c>
      <c r="AR13" s="91">
        <v>16396157.549009865</v>
      </c>
      <c r="AS13" s="91">
        <v>17256955.820332881</v>
      </c>
      <c r="AT13" s="91">
        <v>18089431.369105741</v>
      </c>
      <c r="AU13" s="91">
        <v>18900561.471696444</v>
      </c>
      <c r="AV13" s="91">
        <v>19675673.497650716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EX_IM_gap 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Lupacescu</dc:creator>
  <cp:lastModifiedBy>Dany</cp:lastModifiedBy>
  <dcterms:created xsi:type="dcterms:W3CDTF">2025-05-22T12:17:12Z</dcterms:created>
  <dcterms:modified xsi:type="dcterms:W3CDTF">2025-06-18T20:44:07Z</dcterms:modified>
</cp:coreProperties>
</file>