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08"/>
  <workbookPr/>
  <mc:AlternateContent xmlns:mc="http://schemas.openxmlformats.org/markup-compatibility/2006">
    <mc:Choice Requires="x15">
      <x15ac:absPath xmlns:x15ac="http://schemas.microsoft.com/office/spreadsheetml/2010/11/ac" url="/Users/air/Desktop/FrameworkData-main/data/"/>
    </mc:Choice>
  </mc:AlternateContent>
  <xr:revisionPtr revIDLastSave="0" documentId="13_ncr:1_{C5C00624-9F7B-9446-BBAC-4038FCB78A3C}" xr6:coauthVersionLast="47" xr6:coauthVersionMax="47" xr10:uidLastSave="{00000000-0000-0000-0000-000000000000}"/>
  <bookViews>
    <workbookView xWindow="0" yWindow="740" windowWidth="29040" windowHeight="15840" activeTab="2" xr2:uid="{00000000-000D-0000-FFFF-FFFF00000000}"/>
  </bookViews>
  <sheets>
    <sheet name="Venituri" sheetId="1" r:id="rId1"/>
    <sheet name="Cheltuieli" sheetId="2" r:id="rId2"/>
    <sheet name="Deficit BPN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1" l="1"/>
  <c r="C2" i="3"/>
  <c r="D2" i="3"/>
  <c r="D3" i="3" s="1"/>
  <c r="E2" i="3"/>
  <c r="F2" i="3"/>
  <c r="F3" i="3" s="1"/>
  <c r="G2" i="3"/>
  <c r="G3" i="3" s="1"/>
  <c r="H2" i="3"/>
  <c r="B2" i="3"/>
  <c r="E3" i="3" l="1"/>
  <c r="B3" i="3"/>
  <c r="H3" i="3"/>
  <c r="C3" i="3"/>
  <c r="B7" i="2"/>
  <c r="B9" i="2" s="1"/>
  <c r="C7" i="2"/>
  <c r="C9" i="2" s="1"/>
  <c r="D7" i="2"/>
  <c r="D9" i="2" s="1"/>
  <c r="E7" i="2"/>
  <c r="E9" i="2" s="1"/>
  <c r="F7" i="2"/>
  <c r="F9" i="2" s="1"/>
  <c r="G7" i="2"/>
  <c r="G9" i="2" s="1"/>
  <c r="H7" i="2"/>
  <c r="H9" i="2" s="1"/>
  <c r="C9" i="1" l="1"/>
  <c r="D9" i="1"/>
  <c r="E9" i="1"/>
  <c r="F9" i="1"/>
  <c r="G9" i="1"/>
  <c r="H9" i="1"/>
  <c r="I9" i="1"/>
  <c r="J9" i="1"/>
</calcChain>
</file>

<file path=xl/sharedStrings.xml><?xml version="1.0" encoding="utf-8"?>
<sst xmlns="http://schemas.openxmlformats.org/spreadsheetml/2006/main" count="22" uniqueCount="20">
  <si>
    <t>Total venituri</t>
  </si>
  <si>
    <t>Impozite venit fizic</t>
  </si>
  <si>
    <t>Impozite venit juridic</t>
  </si>
  <si>
    <t>TVA</t>
  </si>
  <si>
    <t>Accize</t>
  </si>
  <si>
    <t>Contribuții salariale</t>
  </si>
  <si>
    <t xml:space="preserve">Granturi </t>
  </si>
  <si>
    <t>Altele</t>
  </si>
  <si>
    <t>PIB</t>
  </si>
  <si>
    <t>Cheltuieli total</t>
  </si>
  <si>
    <t>Cheltuieli de personal</t>
  </si>
  <si>
    <t>Bunuri și servicii</t>
  </si>
  <si>
    <t>Dobânzi</t>
  </si>
  <si>
    <t>Prestații sociale</t>
  </si>
  <si>
    <t>Alte active nefinanciare</t>
  </si>
  <si>
    <t>Investiții capitale</t>
  </si>
  <si>
    <t>Alte cheltuieli</t>
  </si>
  <si>
    <t>Active nefinanciare</t>
  </si>
  <si>
    <t>Deficitul general</t>
  </si>
  <si>
    <t>Deficitul primar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</si>
</sst>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"/>
  <sheetViews>
    <sheetView workbookViewId="0">
      <selection activeCell="A16" sqref="A16:XFD16"/>
    </sheetView>
  </sheetViews>
  <sheetFormatPr baseColWidth="10" defaultColWidth="8.83203125" defaultRowHeight="15" x14ac:dyDescent="0.2"/>
  <cols>
    <col min="1" max="1" width="23.83203125" customWidth="1"/>
    <col min="2" max="2" width="13" customWidth="1"/>
    <col min="3" max="9" width="10" bestFit="1" customWidth="1"/>
  </cols>
  <sheetData>
    <row r="1" spans="1:10" x14ac:dyDescent="0.2"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</row>
    <row r="2" spans="1:10" x14ac:dyDescent="0.2">
      <c r="A2" t="s">
        <v>0</v>
      </c>
      <c r="B2">
        <v>53377.600000000006</v>
      </c>
      <c r="C2">
        <v>57995.900000000016</v>
      </c>
      <c r="D2">
        <v>62949.200000000019</v>
      </c>
      <c r="E2">
        <v>62649.999999999985</v>
      </c>
      <c r="F2">
        <v>77373.000000000015</v>
      </c>
      <c r="G2">
        <v>91505.4</v>
      </c>
      <c r="H2">
        <v>102299.2</v>
      </c>
      <c r="I2">
        <v>110338.49999999999</v>
      </c>
      <c r="J2">
        <v>125602</v>
      </c>
    </row>
    <row r="3" spans="1:10" x14ac:dyDescent="0.2">
      <c r="A3" t="s">
        <v>1</v>
      </c>
      <c r="B3">
        <v>3648.9</v>
      </c>
      <c r="C3">
        <v>3982</v>
      </c>
      <c r="D3">
        <v>3970</v>
      </c>
      <c r="E3">
        <v>4165.6000000000004</v>
      </c>
      <c r="F3">
        <v>5133.8</v>
      </c>
      <c r="G3">
        <v>5997.2999999999993</v>
      </c>
      <c r="H3">
        <v>7232.7999999999993</v>
      </c>
      <c r="I3">
        <v>8669.7999999999993</v>
      </c>
      <c r="J3">
        <v>9956.6</v>
      </c>
    </row>
    <row r="4" spans="1:10" x14ac:dyDescent="0.2">
      <c r="A4" t="s">
        <v>2</v>
      </c>
      <c r="B4">
        <v>4073.9</v>
      </c>
      <c r="C4">
        <v>5356.7</v>
      </c>
      <c r="D4">
        <v>5365.2999999999993</v>
      </c>
      <c r="E4">
        <v>5123</v>
      </c>
      <c r="F4">
        <v>6009.3</v>
      </c>
      <c r="G4">
        <v>8728.5999999999985</v>
      </c>
      <c r="H4">
        <v>9421.7000000000007</v>
      </c>
      <c r="I4">
        <v>9064.9</v>
      </c>
      <c r="J4">
        <v>9673.7999999999993</v>
      </c>
    </row>
    <row r="5" spans="1:10" x14ac:dyDescent="0.2">
      <c r="A5" t="s">
        <v>3</v>
      </c>
      <c r="B5">
        <v>16870.100000000002</v>
      </c>
      <c r="C5">
        <v>18615.600000000002</v>
      </c>
      <c r="D5">
        <v>20183.300000000003</v>
      </c>
      <c r="E5">
        <v>19770.099999999999</v>
      </c>
      <c r="F5">
        <v>25508.799999999999</v>
      </c>
      <c r="G5">
        <v>29056.699999999997</v>
      </c>
      <c r="H5">
        <v>30209.299999999996</v>
      </c>
      <c r="I5">
        <v>33410.1</v>
      </c>
      <c r="J5">
        <v>37410.700000000004</v>
      </c>
    </row>
    <row r="6" spans="1:10" x14ac:dyDescent="0.2">
      <c r="A6" t="s">
        <v>4</v>
      </c>
      <c r="B6">
        <v>5950</v>
      </c>
      <c r="C6">
        <v>5683.3</v>
      </c>
      <c r="D6">
        <v>6221.9000000000005</v>
      </c>
      <c r="E6">
        <v>6468.8000000000011</v>
      </c>
      <c r="F6">
        <v>7608.3</v>
      </c>
      <c r="G6">
        <v>8012.5</v>
      </c>
      <c r="H6">
        <v>10138.1</v>
      </c>
      <c r="I6">
        <v>11447.6</v>
      </c>
      <c r="J6">
        <v>12588.299999999997</v>
      </c>
    </row>
    <row r="7" spans="1:10" x14ac:dyDescent="0.2">
      <c r="A7" t="s">
        <v>5</v>
      </c>
      <c r="B7">
        <v>15512.4</v>
      </c>
      <c r="C7">
        <v>17155.5</v>
      </c>
      <c r="D7">
        <v>18403.900000000001</v>
      </c>
      <c r="E7">
        <v>19234.900000000001</v>
      </c>
      <c r="F7">
        <v>21839</v>
      </c>
      <c r="G7">
        <v>24923.200000000001</v>
      </c>
      <c r="H7">
        <v>29022.400000000001</v>
      </c>
      <c r="I7">
        <v>33564.199999999997</v>
      </c>
      <c r="J7">
        <v>37936.300000000003</v>
      </c>
    </row>
    <row r="8" spans="1:10" x14ac:dyDescent="0.2">
      <c r="A8" t="s">
        <v>6</v>
      </c>
      <c r="B8">
        <v>1008.8000000000001</v>
      </c>
      <c r="C8">
        <v>387.4</v>
      </c>
      <c r="D8">
        <v>1602.6</v>
      </c>
      <c r="E8">
        <v>649.59999999999991</v>
      </c>
      <c r="F8">
        <v>2447.4</v>
      </c>
      <c r="G8">
        <v>4539.4000000000005</v>
      </c>
      <c r="H8">
        <v>5347</v>
      </c>
      <c r="I8">
        <v>2592.3000000000002</v>
      </c>
      <c r="J8">
        <v>4669.3</v>
      </c>
    </row>
    <row r="9" spans="1:10" x14ac:dyDescent="0.2">
      <c r="A9" t="s">
        <v>7</v>
      </c>
      <c r="B9">
        <f>B2-SUM(B3:B8)</f>
        <v>6313.5</v>
      </c>
      <c r="C9">
        <f t="shared" ref="C9:J9" si="0">C2-SUM(C3:C8)</f>
        <v>6815.4000000000087</v>
      </c>
      <c r="D9">
        <f t="shared" si="0"/>
        <v>7202.2000000000189</v>
      </c>
      <c r="E9">
        <f t="shared" si="0"/>
        <v>7237.9999999999854</v>
      </c>
      <c r="F9">
        <f t="shared" si="0"/>
        <v>8826.4000000000087</v>
      </c>
      <c r="G9">
        <f t="shared" si="0"/>
        <v>10247.700000000012</v>
      </c>
      <c r="H9">
        <f t="shared" si="0"/>
        <v>10927.900000000009</v>
      </c>
      <c r="I9">
        <f t="shared" si="0"/>
        <v>11589.599999999991</v>
      </c>
      <c r="J9">
        <f t="shared" si="0"/>
        <v>13366.999999999985</v>
      </c>
    </row>
    <row r="10" spans="1:10" x14ac:dyDescent="0.2">
      <c r="A10" t="s">
        <v>8</v>
      </c>
      <c r="B10">
        <v>176007.29300000001</v>
      </c>
      <c r="C10">
        <v>189062.62700000001</v>
      </c>
      <c r="D10">
        <v>206256.239</v>
      </c>
      <c r="E10">
        <v>199733.68400000001</v>
      </c>
      <c r="F10">
        <v>242078.62899999999</v>
      </c>
      <c r="G10">
        <v>274488.06300000002</v>
      </c>
      <c r="H10">
        <v>303554.038</v>
      </c>
      <c r="I10">
        <v>323932.49400000001</v>
      </c>
      <c r="J10">
        <v>353520.87699999998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47E08-64CE-4561-ADB7-EB8CFB603451}">
  <dimension ref="A1:H11"/>
  <sheetViews>
    <sheetView workbookViewId="0">
      <selection activeCell="A20" sqref="A20"/>
    </sheetView>
  </sheetViews>
  <sheetFormatPr baseColWidth="10" defaultColWidth="8.83203125" defaultRowHeight="15" x14ac:dyDescent="0.2"/>
  <cols>
    <col min="1" max="1" width="40.83203125" customWidth="1"/>
  </cols>
  <sheetData>
    <row r="1" spans="1:8" x14ac:dyDescent="0.2">
      <c r="B1">
        <v>2019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</row>
    <row r="2" spans="1:8" x14ac:dyDescent="0.2">
      <c r="A2" t="s">
        <v>9</v>
      </c>
      <c r="B2">
        <v>65975.60000000002</v>
      </c>
      <c r="C2">
        <v>73269.8</v>
      </c>
      <c r="D2">
        <v>82013.500000000015</v>
      </c>
      <c r="E2">
        <v>100374.20000000001</v>
      </c>
      <c r="F2">
        <v>117871.1</v>
      </c>
      <c r="G2">
        <v>122962.57999999999</v>
      </c>
      <c r="H2">
        <v>139856.39999999997</v>
      </c>
    </row>
    <row r="3" spans="1:8" x14ac:dyDescent="0.2">
      <c r="A3" t="s">
        <v>10</v>
      </c>
      <c r="B3">
        <v>15649</v>
      </c>
      <c r="C3">
        <v>17214.400000000001</v>
      </c>
      <c r="D3">
        <v>18775.599999999999</v>
      </c>
      <c r="E3">
        <v>21399.7</v>
      </c>
      <c r="F3">
        <v>24403.5</v>
      </c>
      <c r="G3">
        <v>27723.4</v>
      </c>
      <c r="H3">
        <v>31372.5</v>
      </c>
    </row>
    <row r="4" spans="1:8" x14ac:dyDescent="0.2">
      <c r="A4" t="s">
        <v>11</v>
      </c>
      <c r="B4">
        <v>12079.8</v>
      </c>
      <c r="C4">
        <v>13019.1</v>
      </c>
      <c r="D4">
        <v>16682.599999999999</v>
      </c>
      <c r="E4">
        <v>18601.800000000003</v>
      </c>
      <c r="F4">
        <v>20294.900000000001</v>
      </c>
      <c r="G4">
        <v>22285.3</v>
      </c>
      <c r="H4">
        <v>24887.5</v>
      </c>
    </row>
    <row r="5" spans="1:8" x14ac:dyDescent="0.2">
      <c r="A5" t="s">
        <v>12</v>
      </c>
      <c r="B5">
        <v>1641.1</v>
      </c>
      <c r="C5">
        <v>1706.7</v>
      </c>
      <c r="D5">
        <v>1941.1</v>
      </c>
      <c r="E5">
        <v>2736.5</v>
      </c>
      <c r="F5">
        <v>5436.3</v>
      </c>
      <c r="G5">
        <v>4446.6000000000004</v>
      </c>
      <c r="H5">
        <v>4405</v>
      </c>
    </row>
    <row r="6" spans="1:8" x14ac:dyDescent="0.2">
      <c r="A6" t="s">
        <v>13</v>
      </c>
      <c r="B6">
        <v>22302.6</v>
      </c>
      <c r="C6">
        <v>25007.9</v>
      </c>
      <c r="D6">
        <v>28187</v>
      </c>
      <c r="E6">
        <v>37743.4</v>
      </c>
      <c r="F6">
        <v>43576.100000000006</v>
      </c>
      <c r="G6">
        <v>44763.199999999997</v>
      </c>
      <c r="H6">
        <v>51549.3</v>
      </c>
    </row>
    <row r="7" spans="1:8" x14ac:dyDescent="0.2">
      <c r="A7" t="s">
        <v>14</v>
      </c>
      <c r="B7">
        <f t="shared" ref="B7:H7" si="0">B10-B8</f>
        <v>5111.0000000000009</v>
      </c>
      <c r="C7">
        <f t="shared" si="0"/>
        <v>5386.2</v>
      </c>
      <c r="D7">
        <f t="shared" si="0"/>
        <v>6466.9</v>
      </c>
      <c r="E7">
        <f t="shared" si="0"/>
        <v>7083.3</v>
      </c>
      <c r="F7">
        <f t="shared" si="0"/>
        <v>7798.0000000000009</v>
      </c>
      <c r="G7">
        <f t="shared" si="0"/>
        <v>7737.5</v>
      </c>
      <c r="H7">
        <f t="shared" si="0"/>
        <v>8088.6000000000022</v>
      </c>
    </row>
    <row r="8" spans="1:8" x14ac:dyDescent="0.2">
      <c r="A8" t="s">
        <v>15</v>
      </c>
      <c r="B8">
        <v>1819.3</v>
      </c>
      <c r="C8">
        <v>2052.1999999999998</v>
      </c>
      <c r="D8">
        <v>2284.1</v>
      </c>
      <c r="E8">
        <v>3370.2</v>
      </c>
      <c r="F8">
        <v>4077.7</v>
      </c>
      <c r="G8">
        <v>3164.1</v>
      </c>
      <c r="H8">
        <v>4174.5</v>
      </c>
    </row>
    <row r="9" spans="1:8" x14ac:dyDescent="0.2">
      <c r="A9" t="s">
        <v>16</v>
      </c>
      <c r="B9">
        <f t="shared" ref="B9:F9" si="1">B2-SUM(B3:B8)</f>
        <v>7372.8000000000175</v>
      </c>
      <c r="C9">
        <f t="shared" si="1"/>
        <v>8883.3000000000029</v>
      </c>
      <c r="D9">
        <f>D2-SUM(D3:D8)</f>
        <v>7676.2000000000262</v>
      </c>
      <c r="E9">
        <f t="shared" si="1"/>
        <v>9439.3000000000175</v>
      </c>
      <c r="F9">
        <f t="shared" si="1"/>
        <v>12284.599999999991</v>
      </c>
      <c r="G9">
        <f>G2-SUM(G3:G8)</f>
        <v>12842.479999999981</v>
      </c>
      <c r="H9">
        <f>H2-SUM(H3:H8)</f>
        <v>15378.999999999956</v>
      </c>
    </row>
    <row r="10" spans="1:8" x14ac:dyDescent="0.2">
      <c r="A10" t="s">
        <v>17</v>
      </c>
      <c r="B10">
        <v>6930.3000000000011</v>
      </c>
      <c r="C10">
        <v>7438.4</v>
      </c>
      <c r="D10">
        <v>8751</v>
      </c>
      <c r="E10">
        <v>10453.5</v>
      </c>
      <c r="F10">
        <v>11875.7</v>
      </c>
      <c r="G10">
        <v>10901.6</v>
      </c>
      <c r="H10">
        <v>12263.100000000002</v>
      </c>
    </row>
    <row r="11" spans="1:8" x14ac:dyDescent="0.2">
      <c r="A11" t="s">
        <v>8</v>
      </c>
      <c r="B11">
        <v>206256.239</v>
      </c>
      <c r="C11">
        <v>199733.68400000001</v>
      </c>
      <c r="D11">
        <v>242078.62899999999</v>
      </c>
      <c r="E11">
        <v>274488.06300000002</v>
      </c>
      <c r="F11">
        <v>303554.038</v>
      </c>
      <c r="G11">
        <v>323932.49400000001</v>
      </c>
      <c r="H11">
        <v>353520.87699999998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8F3A99-9CC3-4535-AA4E-C9CDD314BCE8}">
  <dimension ref="A1:H11"/>
  <sheetViews>
    <sheetView tabSelected="1" workbookViewId="0">
      <selection activeCell="E19" sqref="E19"/>
    </sheetView>
  </sheetViews>
  <sheetFormatPr baseColWidth="10" defaultColWidth="8.83203125" defaultRowHeight="15" x14ac:dyDescent="0.2"/>
  <cols>
    <col min="1" max="1" width="26.83203125" customWidth="1"/>
  </cols>
  <sheetData>
    <row r="1" spans="1:8" x14ac:dyDescent="0.2">
      <c r="B1">
        <v>2019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</row>
    <row r="2" spans="1:8" x14ac:dyDescent="0.2">
      <c r="A2" t="s">
        <v>18</v>
      </c>
      <c r="B2" s="1">
        <f>Venituri!D2-Cheltuieli!B2</f>
        <v>-3026.4000000000015</v>
      </c>
      <c r="C2" s="1">
        <f>Venituri!E2-Cheltuieli!C2</f>
        <v>-10619.800000000017</v>
      </c>
      <c r="D2" s="1">
        <f>Venituri!F2-Cheltuieli!D2</f>
        <v>-4640.5</v>
      </c>
      <c r="E2" s="1">
        <f>Venituri!G2-Cheltuieli!E2</f>
        <v>-8868.8000000000175</v>
      </c>
      <c r="F2" s="1">
        <f>Venituri!H2-Cheltuieli!F2</f>
        <v>-15571.900000000009</v>
      </c>
      <c r="G2" s="1">
        <f>Venituri!I2-Cheltuieli!G2</f>
        <v>-12624.080000000002</v>
      </c>
      <c r="H2" s="1">
        <f>Venituri!J2-Cheltuieli!H2</f>
        <v>-14254.399999999965</v>
      </c>
    </row>
    <row r="3" spans="1:8" x14ac:dyDescent="0.2">
      <c r="A3" t="s">
        <v>19</v>
      </c>
      <c r="B3" s="1">
        <f>B2+Cheltuieli!B5</f>
        <v>-1385.3000000000015</v>
      </c>
      <c r="C3" s="1">
        <f>C2+Cheltuieli!C5</f>
        <v>-8913.1000000000167</v>
      </c>
      <c r="D3" s="1">
        <f>D2+Cheltuieli!D5</f>
        <v>-2699.4</v>
      </c>
      <c r="E3" s="1">
        <f>E2+Cheltuieli!E5</f>
        <v>-6132.3000000000175</v>
      </c>
      <c r="F3" s="1">
        <f>F2+Cheltuieli!F5</f>
        <v>-10135.600000000009</v>
      </c>
      <c r="G3" s="1">
        <f>G2+Cheltuieli!G5</f>
        <v>-8177.4800000000014</v>
      </c>
      <c r="H3" s="1">
        <f>H2+Cheltuieli!H5</f>
        <v>-9849.3999999999651</v>
      </c>
    </row>
    <row r="4" spans="1:8" x14ac:dyDescent="0.2">
      <c r="A4" t="s">
        <v>8</v>
      </c>
      <c r="B4">
        <v>206256.239</v>
      </c>
      <c r="C4">
        <v>199733.68400000001</v>
      </c>
      <c r="D4">
        <v>242078.62899999999</v>
      </c>
      <c r="E4">
        <v>274488.06300000002</v>
      </c>
      <c r="F4">
        <v>303554.038</v>
      </c>
      <c r="G4">
        <v>323932.49400000001</v>
      </c>
      <c r="H4">
        <v>353520.87699999998</v>
      </c>
    </row>
    <row r="10" spans="1:8" x14ac:dyDescent="0.2">
      <c r="B10" s="1"/>
      <c r="C10" s="1"/>
      <c r="D10" s="1"/>
      <c r="E10" s="1"/>
      <c r="F10" s="1"/>
      <c r="G10" s="1"/>
      <c r="H10" s="1"/>
    </row>
    <row r="11" spans="1:8" x14ac:dyDescent="0.2">
      <c r="B11" s="1"/>
      <c r="C11" s="1"/>
      <c r="D11" s="1"/>
      <c r="E11" s="1"/>
      <c r="F11" s="1"/>
      <c r="G11" s="1"/>
      <c r="H1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Venituri</vt:lpstr>
      <vt:lpstr>Cheltuieli</vt:lpstr>
      <vt:lpstr>Deficit BPN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Nicolai Bulgac</dc:creator>
  <cp:keywords/>
  <dc:description/>
  <cp:lastModifiedBy>Daniel Lupacescu</cp:lastModifiedBy>
  <cp:revision/>
  <dcterms:created xsi:type="dcterms:W3CDTF">2015-06-05T18:17:20Z</dcterms:created>
  <dcterms:modified xsi:type="dcterms:W3CDTF">2026-05-12T10:31:04Z</dcterms:modified>
  <cp:category/>
  <cp:contentStatus/>
</cp:coreProperties>
</file>